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vin/Documents/lateralreticularnucleus/"/>
    </mc:Choice>
  </mc:AlternateContent>
  <xr:revisionPtr revIDLastSave="0" documentId="13_ncr:1_{C04D4E91-12AB-2449-AE51-7EF5937BD748}" xr6:coauthVersionLast="47" xr6:coauthVersionMax="47" xr10:uidLastSave="{00000000-0000-0000-0000-000000000000}"/>
  <bookViews>
    <workbookView xWindow="280" yWindow="660" windowWidth="17820" windowHeight="17820" xr2:uid="{A3E16844-B4AA-9543-9B1D-9D3B691F9B3E}"/>
  </bookViews>
  <sheets>
    <sheet name="compiled_metadata_sor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1" i="1" l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2" i="1"/>
  <c r="AC3" i="1"/>
  <c r="AC4" i="1"/>
  <c r="AC5" i="1"/>
  <c r="AC6" i="1"/>
  <c r="AC7" i="1"/>
  <c r="AC8" i="1"/>
  <c r="AC9" i="1"/>
  <c r="AC10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81" i="1"/>
  <c r="AC82" i="1"/>
  <c r="AC83" i="1"/>
  <c r="AC84" i="1"/>
  <c r="AC85" i="1"/>
  <c r="AC86" i="1"/>
  <c r="AC87" i="1"/>
  <c r="AC88" i="1"/>
  <c r="AC89" i="1"/>
  <c r="AC90" i="1"/>
  <c r="AC72" i="1"/>
  <c r="AC91" i="1"/>
  <c r="AC92" i="1"/>
  <c r="AC93" i="1"/>
  <c r="AC94" i="1"/>
  <c r="AC73" i="1"/>
  <c r="AC74" i="1"/>
  <c r="AC75" i="1"/>
  <c r="AC76" i="1"/>
  <c r="AC95" i="1"/>
  <c r="AC96" i="1"/>
  <c r="AC77" i="1"/>
  <c r="AC78" i="1"/>
  <c r="AC97" i="1"/>
  <c r="AC98" i="1"/>
  <c r="AC99" i="1"/>
  <c r="AC100" i="1"/>
  <c r="AC101" i="1"/>
  <c r="AC102" i="1"/>
  <c r="AC103" i="1"/>
  <c r="AC79" i="1"/>
  <c r="AC80" i="1"/>
  <c r="AC104" i="1"/>
  <c r="AC105" i="1"/>
  <c r="AC106" i="1"/>
  <c r="AC107" i="1"/>
  <c r="AC108" i="1"/>
  <c r="AC109" i="1"/>
  <c r="AC110" i="1"/>
  <c r="AC111" i="1"/>
  <c r="AC112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13" i="1"/>
  <c r="AC114" i="1"/>
  <c r="AC115" i="1"/>
  <c r="AC116" i="1"/>
  <c r="AC117" i="1"/>
  <c r="AC133" i="1"/>
  <c r="AC134" i="1"/>
  <c r="AC135" i="1"/>
  <c r="AC136" i="1"/>
  <c r="AC137" i="1"/>
  <c r="AC118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38" i="1"/>
  <c r="AC139" i="1"/>
  <c r="AC161" i="1"/>
  <c r="AC162" i="1"/>
  <c r="AC163" i="1"/>
  <c r="AC164" i="1"/>
  <c r="AC165" i="1"/>
  <c r="AC166" i="1"/>
  <c r="AC167" i="1"/>
  <c r="AC168" i="1"/>
  <c r="AC169" i="1"/>
  <c r="AC170" i="1"/>
  <c r="AC171" i="1"/>
  <c r="AC140" i="1"/>
  <c r="AC172" i="1"/>
  <c r="AC173" i="1"/>
  <c r="AC174" i="1"/>
  <c r="AC175" i="1"/>
  <c r="AC15" i="1"/>
  <c r="W79" i="1"/>
  <c r="W140" i="1"/>
  <c r="W80" i="1"/>
  <c r="W98" i="1"/>
  <c r="W99" i="1"/>
  <c r="W100" i="1"/>
  <c r="W101" i="1"/>
  <c r="W102" i="1"/>
  <c r="W103" i="1"/>
  <c r="W133" i="1"/>
  <c r="W134" i="1"/>
  <c r="W36" i="1"/>
  <c r="W37" i="1"/>
  <c r="W104" i="1"/>
  <c r="W105" i="1"/>
  <c r="W106" i="1"/>
  <c r="W107" i="1"/>
  <c r="W108" i="1"/>
  <c r="W172" i="1"/>
  <c r="W173" i="1"/>
  <c r="W174" i="1"/>
  <c r="W175" i="1"/>
  <c r="W73" i="1"/>
  <c r="W74" i="1"/>
  <c r="W75" i="1"/>
  <c r="W76" i="1"/>
  <c r="W2" i="1"/>
  <c r="W3" i="1"/>
  <c r="W4" i="1"/>
  <c r="W95" i="1"/>
  <c r="W96" i="1"/>
  <c r="W135" i="1"/>
  <c r="W136" i="1"/>
  <c r="W137" i="1"/>
  <c r="W113" i="1"/>
  <c r="W114" i="1"/>
  <c r="W115" i="1"/>
  <c r="W77" i="1"/>
  <c r="W78" i="1"/>
  <c r="W124" i="1"/>
  <c r="W29" i="1"/>
  <c r="W30" i="1"/>
  <c r="W31" i="1"/>
  <c r="W32" i="1"/>
  <c r="W97" i="1"/>
  <c r="W111" i="1"/>
  <c r="W112" i="1"/>
  <c r="W71" i="1"/>
  <c r="W72" i="1"/>
  <c r="W116" i="1"/>
  <c r="W117" i="1"/>
  <c r="W119" i="1"/>
  <c r="W120" i="1"/>
  <c r="W121" i="1"/>
  <c r="W122" i="1"/>
  <c r="W123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125" i="1"/>
  <c r="W126" i="1"/>
  <c r="W127" i="1"/>
  <c r="W138" i="1"/>
  <c r="W139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28" i="1"/>
  <c r="W129" i="1"/>
  <c r="W130" i="1"/>
  <c r="W131" i="1"/>
  <c r="W132" i="1"/>
  <c r="W33" i="1"/>
  <c r="W34" i="1"/>
  <c r="W155" i="1"/>
  <c r="W156" i="1"/>
  <c r="W157" i="1"/>
  <c r="W158" i="1"/>
  <c r="W159" i="1"/>
  <c r="W160" i="1"/>
  <c r="W161" i="1"/>
  <c r="W35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162" i="1"/>
  <c r="W163" i="1"/>
  <c r="W164" i="1"/>
  <c r="W165" i="1"/>
  <c r="W166" i="1"/>
  <c r="W167" i="1"/>
  <c r="W168" i="1"/>
  <c r="W169" i="1"/>
  <c r="W170" i="1"/>
  <c r="W171" i="1"/>
  <c r="W56" i="1"/>
  <c r="W109" i="1"/>
  <c r="W110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118" i="1"/>
</calcChain>
</file>

<file path=xl/sharedStrings.xml><?xml version="1.0" encoding="utf-8"?>
<sst xmlns="http://schemas.openxmlformats.org/spreadsheetml/2006/main" count="5311" uniqueCount="969">
  <si>
    <t>csv_path</t>
  </si>
  <si>
    <t>relative_path</t>
  </si>
  <si>
    <t>filename</t>
  </si>
  <si>
    <t>filename_no_ext</t>
  </si>
  <si>
    <t>phase</t>
  </si>
  <si>
    <t>cohort</t>
  </si>
  <si>
    <t>group</t>
  </si>
  <si>
    <t>rat_id</t>
  </si>
  <si>
    <t>subject_id</t>
  </si>
  <si>
    <t>cam_id</t>
  </si>
  <si>
    <t>experiment_day</t>
  </si>
  <si>
    <t>timestamp_date</t>
  </si>
  <si>
    <t>timestamp_time</t>
  </si>
  <si>
    <t>camera_label</t>
  </si>
  <si>
    <t>cam1_dlt_coeffs</t>
  </si>
  <si>
    <t>cam1_xypts</t>
  </si>
  <si>
    <t>cam2_dlt_coeffs</t>
  </si>
  <si>
    <t>cam2_xypts</t>
  </si>
  <si>
    <t>cam3_dlt_coeffs</t>
  </si>
  <si>
    <t>cam3_xypts</t>
  </si>
  <si>
    <t>cam4_dlt_coeffs</t>
  </si>
  <si>
    <t>cam4_xypts</t>
  </si>
  <si>
    <t>cam5_dlt_coeffs</t>
  </si>
  <si>
    <t>cam5_xypts</t>
  </si>
  <si>
    <t>post_ablate</t>
  </si>
  <si>
    <t>5A</t>
  </si>
  <si>
    <t>camcommerb4</t>
  </si>
  <si>
    <t>calibration/01_09_26/calculated_calibs/01_09_26_cal01_camcommerb01DLTcoefs.csv</t>
  </si>
  <si>
    <t>calibration/01_09_26/calculated_calibs/01_09_26_cal01_camcommerb01xypts.csv</t>
  </si>
  <si>
    <t>calibration/01_09_26/calculated_calibs/01_09_26_cal01_camcommerb02DLTcoefs.csv</t>
  </si>
  <si>
    <t>calibration/01_09_26/calculated_calibs/01_09_26_cal01_camcommerb02xypts.csv</t>
  </si>
  <si>
    <t>calibration/01_09_26/calculated_calibs/01_09_26_cal01_camcommerb03DLTcoefs.csv</t>
  </si>
  <si>
    <t>calibration/01_09_26/calculated_calibs/01_09_26_cal01_camcommerb03xypts.csv</t>
  </si>
  <si>
    <t>calibration/01_09_26/calculated_calibs/01_09_26_cal01_camcommerb04DLTcoefs.csv</t>
  </si>
  <si>
    <t>calibration/01_09_26/calculated_calibs/01_09_26_cal01_camcommerb04xypts.csv</t>
  </si>
  <si>
    <t>calibration/01_09_26/calculated_calibs/01_09_26_cal01_camcommerb05DLTcoefs.csv</t>
  </si>
  <si>
    <t>calibration/01_09_26/calculated_calibs/01_09_26_cal01_camcommerb05xypts.csv</t>
  </si>
  <si>
    <t>/zfsgpu3/storage/lrn_project/josh_project/josh_lrn-gtk-2025-12-05/experimental_videos/post_ablate/cam4/1_9_26/5B-rat2/2026-01-09_14_36_19_camcommerb4/postablate_cam4_1_9_26_5B-rat2_2026-01-09_14_36_19_camcommerb4.csv</t>
  </si>
  <si>
    <t>post_ablate/cam4/1_9_26/5B-rat2/2026-01-09_14_36_19_camcommerb4/postablate_cam4_1_9_26_5B-rat2_2026-01-09_14_36_19_camcommerb4.csv</t>
  </si>
  <si>
    <t>postablate_cam4_1_9_26_5B-rat2_2026-01-09_14_36_19_camcommerb4.csv</t>
  </si>
  <si>
    <t>postablate_cam4_1_9_26_5B-rat2_2026-01-09_14_36_19_camcommerb4</t>
  </si>
  <si>
    <t>5B</t>
  </si>
  <si>
    <t>/zfsgpu3/storage/lrn_project/josh_project/josh_lrn-gtk-2025-12-05/experimental_videos/post_ablate/cam4/1_9_26/5B-rat2/2026-01-09_14_35_26_camcommerb4/postablate_cam4_1_9_26_5B-rat2_2026-01-09_14_35_26_camcommerb4.csv</t>
  </si>
  <si>
    <t>post_ablate/cam4/1_9_26/5B-rat2/2026-01-09_14_35_26_camcommerb4/postablate_cam4_1_9_26_5B-rat2_2026-01-09_14_35_26_camcommerb4.csv</t>
  </si>
  <si>
    <t>postablate_cam4_1_9_26_5B-rat2_2026-01-09_14_35_26_camcommerb4.csv</t>
  </si>
  <si>
    <t>postablate_cam4_1_9_26_5B-rat2_2026-01-09_14_35_26_camcommerb4</t>
  </si>
  <si>
    <t>/zfsgpu3/storage/lrn_project/josh_project/josh_lrn-gtk-2025-12-05/experimental_videos/post_ablate/cam4/1_9_26/5A-rat4/2026-01-09_14_19_02_camcommerb4/postablate_cam4_1_9_26_5A-rat4_2026-01-09_14_19_02_camcommerb4.csv</t>
  </si>
  <si>
    <t>post_ablate/cam4/1_9_26/5A-rat4/2026-01-09_14_19_02_camcommerb4/postablate_cam4_1_9_26_5A-rat4_2026-01-09_14_19_02_camcommerb4.csv</t>
  </si>
  <si>
    <t>postablate_cam4_1_9_26_5A-rat4_2026-01-09_14_19_02_camcommerb4.csv</t>
  </si>
  <si>
    <t>postablate_cam4_1_9_26_5A-rat4_2026-01-09_14_19_02_camcommerb4</t>
  </si>
  <si>
    <t>/zfsgpu3/storage/lrn_project/josh_project/josh_lrn-gtk-2025-12-05/experimental_videos/post_ablate/cam4/1_9_26/5A-rat4/2026-01-09_14_18_21_camcommerb4/postablate_cam4_1_9_26_5A-rat4_2026-01-09_14_18_21_camcommerb4.csv</t>
  </si>
  <si>
    <t>post_ablate/cam4/1_9_26/5A-rat4/2026-01-09_14_18_21_camcommerb4/postablate_cam4_1_9_26_5A-rat4_2026-01-09_14_18_21_camcommerb4.csv</t>
  </si>
  <si>
    <t>postablate_cam4_1_9_26_5A-rat4_2026-01-09_14_18_21_camcommerb4.csv</t>
  </si>
  <si>
    <t>postablate_cam4_1_9_26_5A-rat4_2026-01-09_14_18_21_camcommerb4</t>
  </si>
  <si>
    <t>/zfsgpu3/storage/lrn_project/josh_project/josh_lrn-gtk-2025-12-05/experimental_videos/post_ablate/cam4/1_9_26/5A-rat4/2026-01-09_14_19_47_camcommerb4/postablate_cam4_1_9_26_5A-rat4_2026-01-09_14_19_47_camcommerb4.csv</t>
  </si>
  <si>
    <t>post_ablate/cam4/1_9_26/5A-rat4/2026-01-09_14_19_47_camcommerb4/postablate_cam4_1_9_26_5A-rat4_2026-01-09_14_19_47_camcommerb4.csv</t>
  </si>
  <si>
    <t>postablate_cam4_1_9_26_5A-rat4_2026-01-09_14_19_47_camcommerb4.csv</t>
  </si>
  <si>
    <t>postablate_cam4_1_9_26_5A-rat4_2026-01-09_14_19_47_camcommerb4</t>
  </si>
  <si>
    <t>/zfsgpu3/storage/lrn_project/josh_project/josh_lrn-gtk-2025-12-05/experimental_videos/post_ablate/cam4/1_9_26/5A-rat4/2026-01-09_14_19_58_camcommerb4/postablate_cam4_1_9_26_5A-rat4_2026-01-09_14_19_58_camcommerb4.csv</t>
  </si>
  <si>
    <t>post_ablate/cam4/1_9_26/5A-rat4/2026-01-09_14_19_58_camcommerb4/postablate_cam4_1_9_26_5A-rat4_2026-01-09_14_19_58_camcommerb4.csv</t>
  </si>
  <si>
    <t>postablate_cam4_1_9_26_5A-rat4_2026-01-09_14_19_58_camcommerb4.csv</t>
  </si>
  <si>
    <t>postablate_cam4_1_9_26_5A-rat4_2026-01-09_14_19_58_camcommerb4</t>
  </si>
  <si>
    <t>/zfsgpu3/storage/lrn_project/josh_project/josh_lrn-gtk-2025-12-05/experimental_videos/post_ablate/cam4/1_9_26/5A-rat4/2026-01-09_14_20_10_camcommerb4/postablate_cam4_1_9_26_5A-rat4_2026-01-09_14_20_10_camcommerb4.csv</t>
  </si>
  <si>
    <t>post_ablate/cam4/1_9_26/5A-rat4/2026-01-09_14_20_10_camcommerb4/postablate_cam4_1_9_26_5A-rat4_2026-01-09_14_20_10_camcommerb4.csv</t>
  </si>
  <si>
    <t>postablate_cam4_1_9_26_5A-rat4_2026-01-09_14_20_10_camcommerb4.csv</t>
  </si>
  <si>
    <t>postablate_cam4_1_9_26_5A-rat4_2026-01-09_14_20_10_camcommerb4</t>
  </si>
  <si>
    <t>/zfsgpu3/storage/lrn_project/josh_project/josh_lrn-gtk-2025-12-05/experimental_videos/post_ablate/cam4/12_19_25/5A-rat4/2025-12-19_15_02_21_camcommerb4/postablate_cam4_12_19_25_5A-rat4_2025-12-19_15_02_21_camcommerb4.csv</t>
  </si>
  <si>
    <t>post_ablate/cam4/12_19_25/5A-rat4/2025-12-19_15_02_21_camcommerb4/postablate_cam4_12_19_25_5A-rat4_2025-12-19_15_02_21_camcommerb4.csv</t>
  </si>
  <si>
    <t>postablate_cam4_12_19_25_5A-rat4_2025-12-19_15_02_21_camcommerb4.csv</t>
  </si>
  <si>
    <t>postablate_cam4_12_19_25_5A-rat4_2025-12-19_15_02_21_camcommerb4</t>
  </si>
  <si>
    <t>calibration/12_19_25/calculated_calibs/12_19_25_cal01_camcommerb01DLTcoefs.csv</t>
  </si>
  <si>
    <t>calibration/12_19_25/calculated_calibs/12_19_25_cal01_camcommerb01xypts.csv</t>
  </si>
  <si>
    <t>calibration/12_19_25/calculated_calibs/12_19_25_cal01_camcommerb02DLTcoefs.csv</t>
  </si>
  <si>
    <t>calibration/12_19_25/calculated_calibs/12_19_25_cal01_camcommerb02xypts.csv</t>
  </si>
  <si>
    <t>calibration/12_19_25/calculated_calibs/12_19_25_cal01_camcommerb03DLTcoefs.csv</t>
  </si>
  <si>
    <t>calibration/12_19_25/calculated_calibs/12_19_25_cal01_camcommerb03xypts.csv</t>
  </si>
  <si>
    <t>calibration/12_19_25/calculated_calibs/12_19_25_cal04_camcommerb01DLTcoefs.csv</t>
  </si>
  <si>
    <t>calibration/12_19_25/calculated_calibs/12_19_25_cal04_camcommerb01xypts.csv</t>
  </si>
  <si>
    <t>calibration/12_19_25/calculated_calibs/12_19_25_cal01_camcommerb05DLTcoefs.csv</t>
  </si>
  <si>
    <t>/zfsgpu3/storage/lrn_project/josh_project/josh_lrn-gtk-2025-12-05/experimental_videos/post_ablate/cam4/12_19_25/5B-rat2/2025-12-19_15_37_15_camcommerb4/postablate_cam4_12_19_25_5B-rat2_2025-12-19_15_37_15_camcommerb4.csv</t>
  </si>
  <si>
    <t>post_ablate/cam4/12_19_25/5B-rat2/2025-12-19_15_37_15_camcommerb4/postablate_cam4_12_19_25_5B-rat2_2025-12-19_15_37_15_camcommerb4.csv</t>
  </si>
  <si>
    <t>postablate_cam4_12_19_25_5B-rat2_2025-12-19_15_37_15_camcommerb4.csv</t>
  </si>
  <si>
    <t>postablate_cam4_12_19_25_5B-rat2_2025-12-19_15_37_15_camcommerb4</t>
  </si>
  <si>
    <t>/zfsgpu3/storage/lrn_project/josh_project/josh_lrn-gtk-2025-12-05/experimental_videos/post_ablate/cam4/12_19_25/5B-rat6/2025-12-19_15_20_08_camcommerb4/postablate_cam4_12_19_25_5B-rat6_2025-12-19_15_20_08_camcommerb4.csv</t>
  </si>
  <si>
    <t>post_ablate/cam4/12_19_25/5B-rat6/2025-12-19_15_20_08_camcommerb4/postablate_cam4_12_19_25_5B-rat6_2025-12-19_15_20_08_camcommerb4.csv</t>
  </si>
  <si>
    <t>postablate_cam4_12_19_25_5B-rat6_2025-12-19_15_20_08_camcommerb4.csv</t>
  </si>
  <si>
    <t>postablate_cam4_12_19_25_5B-rat6_2025-12-19_15_20_08_camcommerb4</t>
  </si>
  <si>
    <t>/zfsgpu3/storage/lrn_project/josh_project/josh_lrn-gtk-2025-12-05/experimental_videos/post_ablate/cam4/12_19_25/5A-rat4/2025-12-19_15_02_53_camcommerb4/postablate_cam4_12_19_25_5A-rat4_2025-12-19_15_02_53_camcommerb4.csv</t>
  </si>
  <si>
    <t>post_ablate/cam4/12_19_25/5A-rat4/2025-12-19_15_02_53_camcommerb4/postablate_cam4_12_19_25_5A-rat4_2025-12-19_15_02_53_camcommerb4.csv</t>
  </si>
  <si>
    <t>postablate_cam4_12_19_25_5A-rat4_2025-12-19_15_02_53_camcommerb4.csv</t>
  </si>
  <si>
    <t>postablate_cam4_12_19_25_5A-rat4_2025-12-19_15_02_53_camcommerb4</t>
  </si>
  <si>
    <t>calibration/01_16_26/calculated_calibs/01_16_26_cal01_camcommerb01DLTcoefs.csv</t>
  </si>
  <si>
    <t>calibration/01_16_26/calculated_calibs/01_16_26_cal01_camcommerb01xypts.csv</t>
  </si>
  <si>
    <t>calibration/01_16_26/calculated_calibs/01_16_26_cal01_camcommerb02DLTcoefs.csv</t>
  </si>
  <si>
    <t>calibration/01_16_26/calculated_calibs/01_16_26_cal01_camcommerb02xypts.csv</t>
  </si>
  <si>
    <t>calibration/01_16_26/calculated_calibs/01_16_26_cal01_camcommerb03DLTcoefs.csv</t>
  </si>
  <si>
    <t>calibration/01_16_26/calculated_calibs/01_16_26_cal01_camcommerb03xypts.csv</t>
  </si>
  <si>
    <t>calibration/01_16_26/calculated_calibs/01_16_26_cal01_camcommerb04DLTcoefs.csv</t>
  </si>
  <si>
    <t>calibration/01_16_26/calculated_calibs/01_16_26_cal01_camcommerb04xypts.csv</t>
  </si>
  <si>
    <t>calibration/01_16_26/calculated_calibs/01_16_26_cal01_camcommerb05DLTcoefs.csv</t>
  </si>
  <si>
    <t>calibration/01_16_26/calculated_calibs/01_16_26_cal01_camcommerb05xypts.csv</t>
  </si>
  <si>
    <t>/zfsgpu3/storage/lrn_project/josh_project/josh_lrn-gtk-2025-12-05/experimental_videos/01_16_26/cam4/5A-4/2026-01-16_15_38_37_camcommerb4/postablate_cam4_5A-4_2026-01-16_15_38_37_camcommerb4.csv</t>
  </si>
  <si>
    <t>01_16_26/cam4/5A-4/2026-01-16_15_38_37_camcommerb4/postablate_cam4_5A-4_2026-01-16_15_38_37_camcommerb4.csv</t>
  </si>
  <si>
    <t>postablate_cam4_5A-4_2026-01-16_15_38_37_camcommerb4.csv</t>
  </si>
  <si>
    <t>postablate_cam4_5A-4_2026-01-16_15_38_37_camcommerb4</t>
  </si>
  <si>
    <t>/zfsgpu3/storage/lrn_project/josh_project/josh_lrn-gtk-2025-12-05/experimental_videos/01_16_26/cam4/5A-4/2026-01-16_15_40_28_camcommerb4/postablate_cam4_5A-4_2026-01-16_15_40_28_camcommerb4.csv</t>
  </si>
  <si>
    <t>01_16_26/cam4/5A-4/2026-01-16_15_40_28_camcommerb4/postablate_cam4_5A-4_2026-01-16_15_40_28_camcommerb4.csv</t>
  </si>
  <si>
    <t>postablate_cam4_5A-4_2026-01-16_15_40_28_camcommerb4.csv</t>
  </si>
  <si>
    <t>postablate_cam4_5A-4_2026-01-16_15_40_28_camcommerb4</t>
  </si>
  <si>
    <t>/zfsgpu3/storage/lrn_project/josh_project/josh_lrn-gtk-2025-12-05/experimental_videos/post_ablate/cam4/12_19_25/5A-rat4/2025-12-19_15_01_10_camcommerb4/postablate_cam4_12_19_25_5A-rat4_2025-12-19_15_01_10_camcommerb4.csv</t>
  </si>
  <si>
    <t>post_ablate/cam4/12_19_25/5A-rat4/2025-12-19_15_01_10_camcommerb4/postablate_cam4_12_19_25_5A-rat4_2025-12-19_15_01_10_camcommerb4.csv</t>
  </si>
  <si>
    <t>postablate_cam4_12_19_25_5A-rat4_2025-12-19_15_01_10_camcommerb4.csv</t>
  </si>
  <si>
    <t>postablate_cam4_12_19_25_5A-rat4_2025-12-19_15_01_10_camcommerb4</t>
  </si>
  <si>
    <t>/zfsgpu3/storage/lrn_project/josh_project/josh_lrn-gtk-2025-12-05/experimental_videos/post_ablate/cam4/12_19_25/5A-rat3/2025-12-19_14_48_22_camcommerb4/postablate_cam4_12_19_25_5A-rat3_2025-12-19_14_48_22_camcommerb4.csv</t>
  </si>
  <si>
    <t>post_ablate/cam4/12_19_25/5A-rat3/2025-12-19_14_48_22_camcommerb4/postablate_cam4_12_19_25_5A-rat3_2025-12-19_14_48_22_camcommerb4.csv</t>
  </si>
  <si>
    <t>postablate_cam4_12_19_25_5A-rat3_2025-12-19_14_48_22_camcommerb4.csv</t>
  </si>
  <si>
    <t>postablate_cam4_12_19_25_5A-rat3_2025-12-19_14_48_22_camcommerb4</t>
  </si>
  <si>
    <t>/zfsgpu3/storage/lrn_project/josh_project/josh_lrn-gtk-2025-12-05/experimental_videos/post_ablate/cam4/12_19_25/5A-rat4/2025-12-19_14_57_41_camcommerb4/postablate_cam4_12_19_25_5A-rat4_2025-12-19_14_57_41_camcommerb4.csv</t>
  </si>
  <si>
    <t>post_ablate/cam4/12_19_25/5A-rat4/2025-12-19_14_57_41_camcommerb4/postablate_cam4_12_19_25_5A-rat4_2025-12-19_14_57_41_camcommerb4.csv</t>
  </si>
  <si>
    <t>postablate_cam4_12_19_25_5A-rat4_2025-12-19_14_57_41_camcommerb4.csv</t>
  </si>
  <si>
    <t>postablate_cam4_12_19_25_5A-rat4_2025-12-19_14_57_41_camcommerb4</t>
  </si>
  <si>
    <t>/zfsgpu3/storage/lrn_project/josh_project/josh_lrn-gtk-2025-12-05/experimental_videos/post_ablate/cam4/12_19_25/5A-rat4/2025-12-19_15_01_45_camcommerb4/postablate_cam4_12_19_25_5A-rat4_2025-12-19_15_01_45_camcommerb4.csv</t>
  </si>
  <si>
    <t>post_ablate/cam4/12_19_25/5A-rat4/2025-12-19_15_01_45_camcommerb4/postablate_cam4_12_19_25_5A-rat4_2025-12-19_15_01_45_camcommerb4.csv</t>
  </si>
  <si>
    <t>postablate_cam4_12_19_25_5A-rat4_2025-12-19_15_01_45_camcommerb4.csv</t>
  </si>
  <si>
    <t>postablate_cam4_12_19_25_5A-rat4_2025-12-19_15_01_45_camcommerb4</t>
  </si>
  <si>
    <t>/zfsgpu3/storage/lrn_project/josh_project/josh_lrn-gtk-2025-12-05/experimental_videos/post_ablate/cam4/12_19_25/5A-rat4/2025-12-19_15_01_56_camcommerb4/postablate_cam4_12_19_25_5A-rat4_2025-12-19_15_01_56_camcommerb4.csv</t>
  </si>
  <si>
    <t>post_ablate/cam4/12_19_25/5A-rat4/2025-12-19_15_01_56_camcommerb4/postablate_cam4_12_19_25_5A-rat4_2025-12-19_15_01_56_camcommerb4.csv</t>
  </si>
  <si>
    <t>postablate_cam4_12_19_25_5A-rat4_2025-12-19_15_01_56_camcommerb4.csv</t>
  </si>
  <si>
    <t>postablate_cam4_12_19_25_5A-rat4_2025-12-19_15_01_56_camcommerb4</t>
  </si>
  <si>
    <t>/zfsgpu3/storage/lrn_project/josh_project/josh_lrn-gtk-2025-12-05/experimental_videos/01_16_26/cam4/5B-6/2026-01-16_16_12_23_camcommerb4/postablate_cam4_5B-6_2026-01-16_16_12_23_camcommerb4.csv</t>
  </si>
  <si>
    <t>01_16_26/cam4/5B-6/2026-01-16_16_12_23_camcommerb4/postablate_cam4_5B-6_2026-01-16_16_12_23_camcommerb4.csv</t>
  </si>
  <si>
    <t>postablate_cam4_5B-6_2026-01-16_16_12_23_camcommerb4.csv</t>
  </si>
  <si>
    <t>postablate_cam4_5B-6_2026-01-16_16_12_23_camcommerb4</t>
  </si>
  <si>
    <t>pre_ablate</t>
  </si>
  <si>
    <t>calibration/11_26_25/calculated_calibs/11_26_25_cal01_DLTcoefs.csv</t>
  </si>
  <si>
    <t>calibration/11_26_25/calculated_calibs/11_26_25_cal01_xypts.csv</t>
  </si>
  <si>
    <t>calibration/11_26_25/calculated_calibs/11_26_25_cal02_DLTcoefs.csv</t>
  </si>
  <si>
    <t>calibration/11_26_25/calculated_calibs/11_26_25_cal02_xypts.csv</t>
  </si>
  <si>
    <t>calibration/11_26_25/calculated_calibs/11_26_25_cal03_DLTcoefs.csv</t>
  </si>
  <si>
    <t>calibration/11_26_25/calculated_calibs/11_26_25_cal03_xypts.csv</t>
  </si>
  <si>
    <t>calibration/11_26_25/calculated_calibs/11_26_25_cal04_DLTcoefs.csv</t>
  </si>
  <si>
    <t>calibration/11_26_25/calculated_calibs/11_26_25_cal04_xypts.csv</t>
  </si>
  <si>
    <t>calibration/11_26_25/calculated_calibs/11_26_25_cal05_DLTcoefs.csv</t>
  </si>
  <si>
    <t>calibration/11_26_25/calculated_calibs/11_26_25_cal05_xypts.csv</t>
  </si>
  <si>
    <t>/zfsgpu3/storage/lrn_project/josh_project/josh_lrn-gtk-2025-12-05/experimental_videos/post_ablate/cam4/1_9_26/5B-rat6/2026-01-09_14_46_19_camcommerb4/postablate_cam4_1_9_26_5B-rat6_2026-01-09_14_46_19_camcommerb4.csv</t>
  </si>
  <si>
    <t>post_ablate/cam4/1_9_26/5B-rat6/2026-01-09_14_46_19_camcommerb4/postablate_cam4_1_9_26_5B-rat6_2026-01-09_14_46_19_camcommerb4.csv</t>
  </si>
  <si>
    <t>postablate_cam4_1_9_26_5B-rat6_2026-01-09_14_46_19_camcommerb4.csv</t>
  </si>
  <si>
    <t>postablate_cam4_1_9_26_5B-rat6_2026-01-09_14_46_19_camcommerb4</t>
  </si>
  <si>
    <t>/zfsgpu3/storage/lrn_project/josh_project/josh_lrn-gtk-2025-12-05/experimental_videos/11_26_25/Cohort_5A/cam4/11_26_25/rat4/2025-11-26_11_59_16_camcommerb4/Cohort_5A_cam4_rat4_2025-11-26_11_59_16.csv</t>
  </si>
  <si>
    <t>11_26_25/Cohort_5A/cam4/11_26_25/rat4/2025-11-26_11_59_16_camcommerb4/Cohort_5A_cam4_rat4_2025-11-26_11_59_16.csv</t>
  </si>
  <si>
    <t>Cohort_5A_cam4_rat4_2025-11-26_11_59_16.csv</t>
  </si>
  <si>
    <t>Cohort_5A_cam4_rat4_2025-11-26_11_59_16</t>
  </si>
  <si>
    <t>/zfsgpu3/storage/lrn_project/josh_project/josh_lrn-gtk-2025-12-05/experimental_videos/post_ablate/cam4/12_19_25/5B-rat6/2025-12-19_15_20_41_camcommerb4/postablate_cam4_12_19_25_5B-rat6_2025-12-19_15_20_41_camcommerb4.csv</t>
  </si>
  <si>
    <t>post_ablate/cam4/12_19_25/5B-rat6/2025-12-19_15_20_41_camcommerb4/postablate_cam4_12_19_25_5B-rat6_2025-12-19_15_20_41_camcommerb4.csv</t>
  </si>
  <si>
    <t>postablate_cam4_12_19_25_5B-rat6_2025-12-19_15_20_41_camcommerb4.csv</t>
  </si>
  <si>
    <t>postablate_cam4_12_19_25_5B-rat6_2025-12-19_15_20_41_camcommerb4</t>
  </si>
  <si>
    <t>/zfsgpu3/storage/lrn_project/josh_project/josh_lrn-gtk-2025-12-05/experimental_videos/11_26_25/Cohort_5A/cam4/11_26_25/rat4/2025-11-26_12_00_21_camcommerb4/Cohort_5A_cam4_rat4_2025-11-26_12_00_21.csv</t>
  </si>
  <si>
    <t>11_26_25/Cohort_5A/cam4/11_26_25/rat4/2025-11-26_12_00_21_camcommerb4/Cohort_5A_cam4_rat4_2025-11-26_12_00_21.csv</t>
  </si>
  <si>
    <t>Cohort_5A_cam4_rat4_2025-11-26_12_00_21.csv</t>
  </si>
  <si>
    <t>Cohort_5A_cam4_rat4_2025-11-26_12_00_21</t>
  </si>
  <si>
    <t>/zfsgpu3/storage/lrn_project/josh_project/josh_lrn-gtk-2025-12-05/experimental_videos/11_26_25/Cohort_5A/cam4/11_26_25/rat4/2025-11-26_12_04_18_camcommerb4/Cohort_5A_cam4_rat4_2025-11-26_12_04_18.csv</t>
  </si>
  <si>
    <t>11_26_25/Cohort_5A/cam4/11_26_25/rat4/2025-11-26_12_04_18_camcommerb4/Cohort_5A_cam4_rat4_2025-11-26_12_04_18.csv</t>
  </si>
  <si>
    <t>Cohort_5A_cam4_rat4_2025-11-26_12_04_18.csv</t>
  </si>
  <si>
    <t>Cohort_5A_cam4_rat4_2025-11-26_12_04_18</t>
  </si>
  <si>
    <t>/zfsgpu3/storage/lrn_project/josh_project/josh_lrn-gtk-2025-12-05/experimental_videos/11_26_25/Cohort_5A/cam4/11_26_25/rat4/2025-11-26_12_03_28_camcommerb4/Cohort_5A_cam4_rat4_2025-11-26_12_03_28.csv</t>
  </si>
  <si>
    <t>11_26_25/Cohort_5A/cam4/11_26_25/rat4/2025-11-26_12_03_28_camcommerb4/Cohort_5A_cam4_rat4_2025-11-26_12_03_28.csv</t>
  </si>
  <si>
    <t>Cohort_5A_cam4_rat4_2025-11-26_12_03_28.csv</t>
  </si>
  <si>
    <t>Cohort_5A_cam4_rat4_2025-11-26_12_03_28</t>
  </si>
  <si>
    <t>/zfsgpu3/storage/lrn_project/josh_project/josh_lrn-gtk-2025-12-05/experimental_videos/11_26_25/Cohort_5A/cam4/11_26_25/rat4/2025-11-26_12_03_15_camcommerb4/Cohort_5A_cam4_rat4_2025-11-26_12_03_15.csv</t>
  </si>
  <si>
    <t>11_26_25/Cohort_5A/cam4/11_26_25/rat4/2025-11-26_12_03_15_camcommerb4/Cohort_5A_cam4_rat4_2025-11-26_12_03_15.csv</t>
  </si>
  <si>
    <t>Cohort_5A_cam4_rat4_2025-11-26_12_03_15.csv</t>
  </si>
  <si>
    <t>Cohort_5A_cam4_rat4_2025-11-26_12_03_15</t>
  </si>
  <si>
    <t>/zfsgpu3/storage/lrn_project/josh_project/josh_lrn-gtk-2025-12-05/experimental_videos/11_26_25/Cohort_5A/cam4/11_26_25/rat4/2025-11-26_12_04_45_camcommerb4/Cohort_5A_cam4_rat4_2025-11-26_12_04_45.csv</t>
  </si>
  <si>
    <t>11_26_25/Cohort_5A/cam4/11_26_25/rat4/2025-11-26_12_04_45_camcommerb4/Cohort_5A_cam4_rat4_2025-11-26_12_04_45.csv</t>
  </si>
  <si>
    <t>Cohort_5A_cam4_rat4_2025-11-26_12_04_45.csv</t>
  </si>
  <si>
    <t>Cohort_5A_cam4_rat4_2025-11-26_12_04_45</t>
  </si>
  <si>
    <t>/zfsgpu3/storage/lrn_project/josh_project/josh_lrn-gtk-2025-12-05/experimental_videos/11_26_25/Cohort_5A/cam4/11_26_25/rat4/2025-11-26_12_01_48_camcommerb4/Cohort_5A_cam4_rat4_2025-11-26_12_01_48.csv</t>
  </si>
  <si>
    <t>11_26_25/Cohort_5A/cam4/11_26_25/rat4/2025-11-26_12_01_48_camcommerb4/Cohort_5A_cam4_rat4_2025-11-26_12_01_48.csv</t>
  </si>
  <si>
    <t>Cohort_5A_cam4_rat4_2025-11-26_12_01_48.csv</t>
  </si>
  <si>
    <t>Cohort_5A_cam4_rat4_2025-11-26_12_01_48</t>
  </si>
  <si>
    <t>/zfsgpu3/storage/lrn_project/josh_project/josh_lrn-gtk-2025-12-05/experimental_videos/11_26_25/Cohort_5A/cam4/11_26_25/rat4/2025-11-26_12_01_16_camcommerb4/Cohort_5A_cam4_rat4_2025-11-26_12_01_16.csv</t>
  </si>
  <si>
    <t>11_26_25/Cohort_5A/cam4/11_26_25/rat4/2025-11-26_12_01_16_camcommerb4/Cohort_5A_cam4_rat4_2025-11-26_12_01_16.csv</t>
  </si>
  <si>
    <t>Cohort_5A_cam4_rat4_2025-11-26_12_01_16.csv</t>
  </si>
  <si>
    <t>Cohort_5A_cam4_rat4_2025-11-26_12_01_16</t>
  </si>
  <si>
    <t>/zfsgpu3/storage/lrn_project/josh_project/josh_lrn-gtk-2025-12-05/experimental_videos/11_26_25/Cohort_5A/cam4/11_26_25/rat4/2025-11-26_12_02_46_camcommerb4/Cohort_5A_cam4_rat4_2025-11-26_12_02_46.csv</t>
  </si>
  <si>
    <t>11_26_25/Cohort_5A/cam4/11_26_25/rat4/2025-11-26_12_02_46_camcommerb4/Cohort_5A_cam4_rat4_2025-11-26_12_02_46.csv</t>
  </si>
  <si>
    <t>Cohort_5A_cam4_rat4_2025-11-26_12_02_46.csv</t>
  </si>
  <si>
    <t>Cohort_5A_cam4_rat4_2025-11-26_12_02_46</t>
  </si>
  <si>
    <t>camcommerb5</t>
  </si>
  <si>
    <t>/zfsgpu3/storage/lrn_project/josh_project/josh_lrn-gtk-2025-12-05/experimental_videos/post_ablate/cam5/1_9_26/5B-rat2/2026-01-09_14_36_45_camcommerb5/postablate_cam5_1_9_26_5B-rat2_2026-01-09_14_36_45_camcommerb5.csv</t>
  </si>
  <si>
    <t>post_ablate/cam5/1_9_26/5B-rat2/2026-01-09_14_36_45_camcommerb5/postablate_cam5_1_9_26_5B-rat2_2026-01-09_14_36_45_camcommerb5.csv</t>
  </si>
  <si>
    <t>postablate_cam5_1_9_26_5B-rat2_2026-01-09_14_36_45_camcommerb5.csv</t>
  </si>
  <si>
    <t>postablate_cam5_1_9_26_5B-rat2_2026-01-09_14_36_45_camcommerb5</t>
  </si>
  <si>
    <t>/zfsgpu3/storage/lrn_project/josh_project/josh_lrn-gtk-2025-12-05/experimental_videos/post_ablate/cam5/1_9_26/5B-rat2/2026-01-09_14_36_34_camcommerb5/postablate_cam5_1_9_26_5B-rat2_2026-01-09_14_36_34_camcommerb5.csv</t>
  </si>
  <si>
    <t>post_ablate/cam5/1_9_26/5B-rat2/2026-01-09_14_36_34_camcommerb5/postablate_cam5_1_9_26_5B-rat2_2026-01-09_14_36_34_camcommerb5.csv</t>
  </si>
  <si>
    <t>postablate_cam5_1_9_26_5B-rat2_2026-01-09_14_36_34_camcommerb5.csv</t>
  </si>
  <si>
    <t>postablate_cam5_1_9_26_5B-rat2_2026-01-09_14_36_34_camcommerb5</t>
  </si>
  <si>
    <t>/zfsgpu3/storage/lrn_project/josh_project/josh_lrn-gtk-2025-12-05/experimental_videos/post_ablate/cam5/1_9_26/5B-rat2/2026-01-09_14_35_55_camcommerb5/postablate_cam5_1_9_26_5B-rat2_2026-01-09_14_35_55_camcommerb5.csv</t>
  </si>
  <si>
    <t>post_ablate/cam5/1_9_26/5B-rat2/2026-01-09_14_35_55_camcommerb5/postablate_cam5_1_9_26_5B-rat2_2026-01-09_14_35_55_camcommerb5.csv</t>
  </si>
  <si>
    <t>postablate_cam5_1_9_26_5B-rat2_2026-01-09_14_35_55_camcommerb5.csv</t>
  </si>
  <si>
    <t>postablate_cam5_1_9_26_5B-rat2_2026-01-09_14_35_55_camcommerb5</t>
  </si>
  <si>
    <t>/zfsgpu3/storage/lrn_project/josh_project/josh_lrn-gtk-2025-12-05/experimental_videos/post_ablate/cam5/1_9_26/5B-rat2/2026-01-09_14_34_53_camcommerb5/postablate_cam5_1_9_26_5B-rat2_2026-01-09_14_34_53_camcommerb5.csv</t>
  </si>
  <si>
    <t>post_ablate/cam5/1_9_26/5B-rat2/2026-01-09_14_34_53_camcommerb5/postablate_cam5_1_9_26_5B-rat2_2026-01-09_14_34_53_camcommerb5.csv</t>
  </si>
  <si>
    <t>postablate_cam5_1_9_26_5B-rat2_2026-01-09_14_34_53_camcommerb5.csv</t>
  </si>
  <si>
    <t>postablate_cam5_1_9_26_5B-rat2_2026-01-09_14_34_53_camcommerb5</t>
  </si>
  <si>
    <t>/zfsgpu3/storage/lrn_project/josh_project/josh_lrn-gtk-2025-12-05/experimental_videos/post_ablate/cam5/1_9_26/5B-rat2/2026-01-09_14_37_29_camcommerb5/postablate_cam5_1_9_26_5B-rat2_2026-01-09_14_37_29_camcommerb5.csv</t>
  </si>
  <si>
    <t>post_ablate/cam5/1_9_26/5B-rat2/2026-01-09_14_37_29_camcommerb5/postablate_cam5_1_9_26_5B-rat2_2026-01-09_14_37_29_camcommerb5.csv</t>
  </si>
  <si>
    <t>postablate_cam5_1_9_26_5B-rat2_2026-01-09_14_37_29_camcommerb5.csv</t>
  </si>
  <si>
    <t>postablate_cam5_1_9_26_5B-rat2_2026-01-09_14_37_29_camcommerb5</t>
  </si>
  <si>
    <t>/zfsgpu3/storage/lrn_project/josh_project/josh_lrn-gtk-2025-12-05/experimental_videos/post_ablate/cam5/12_19_25/5A-rat5/2025-12-19_15_10_15_camcommerb5/postablate_cam5_12_19_25_5A-rat5_2025-12-19_15_10_15_camcommerb5.csv</t>
  </si>
  <si>
    <t>post_ablate/cam5/12_19_25/5A-rat5/2025-12-19_15_10_15_camcommerb5/postablate_cam5_12_19_25_5A-rat5_2025-12-19_15_10_15_camcommerb5.csv</t>
  </si>
  <si>
    <t>postablate_cam5_12_19_25_5A-rat5_2025-12-19_15_10_15_camcommerb5.csv</t>
  </si>
  <si>
    <t>postablate_cam5_12_19_25_5A-rat5_2025-12-19_15_10_15_camcommerb5</t>
  </si>
  <si>
    <t>/zfsgpu3/storage/lrn_project/josh_project/josh_lrn-gtk-2025-12-05/experimental_videos/post_ablate/cam5/12_19_25/5A-rat5/2025-12-19_15_11_22_camcommerb5/postablate_cam5_12_19_25_5A-rat5_2025-12-19_15_11_22_camcommerb5.csv</t>
  </si>
  <si>
    <t>post_ablate/cam5/12_19_25/5A-rat5/2025-12-19_15_11_22_camcommerb5/postablate_cam5_12_19_25_5A-rat5_2025-12-19_15_11_22_camcommerb5.csv</t>
  </si>
  <si>
    <t>postablate_cam5_12_19_25_5A-rat5_2025-12-19_15_11_22_camcommerb5.csv</t>
  </si>
  <si>
    <t>postablate_cam5_12_19_25_5A-rat5_2025-12-19_15_11_22_camcommerb5</t>
  </si>
  <si>
    <t>/zfsgpu3/storage/lrn_project/josh_project/josh_lrn-gtk-2025-12-05/experimental_videos/post_ablate/cam5/12_19_25/5A-rat5/2025-12-19_15_09_52_camcommerb5/postablate_cam5_12_19_25_5A-rat5_2025-12-19_15_09_52_camcommerb5.csv</t>
  </si>
  <si>
    <t>post_ablate/cam5/12_19_25/5A-rat5/2025-12-19_15_09_52_camcommerb5/postablate_cam5_12_19_25_5A-rat5_2025-12-19_15_09_52_camcommerb5.csv</t>
  </si>
  <si>
    <t>postablate_cam5_12_19_25_5A-rat5_2025-12-19_15_09_52_camcommerb5.csv</t>
  </si>
  <si>
    <t>postablate_cam5_12_19_25_5A-rat5_2025-12-19_15_09_52_camcommerb5</t>
  </si>
  <si>
    <t>/zfsgpu3/storage/lrn_project/josh_project/josh_lrn-gtk-2025-12-05/experimental_videos/post_ablate/cam5/12_19_25/5A-rat5/2025-12-19_15_12_50_camcommerb5/postablate_cam5_12_19_25_5A-rat5_2025-12-19_15_12_50_camcommerb5.csv</t>
  </si>
  <si>
    <t>post_ablate/cam5/12_19_25/5A-rat5/2025-12-19_15_12_50_camcommerb5/postablate_cam5_12_19_25_5A-rat5_2025-12-19_15_12_50_camcommerb5.csv</t>
  </si>
  <si>
    <t>postablate_cam5_12_19_25_5A-rat5_2025-12-19_15_12_50_camcommerb5.csv</t>
  </si>
  <si>
    <t>postablate_cam5_12_19_25_5A-rat5_2025-12-19_15_12_50_camcommerb5</t>
  </si>
  <si>
    <t>/zfsgpu3/storage/lrn_project/josh_project/josh_lrn-gtk-2025-12-05/experimental_videos/post_ablate/cam5/12_19_25/5A-rat5/2025-12-19_15_13_50_camcommerb5/postablate_cam5_12_19_25_5A-rat5_2025-12-19_15_13_50_camcommerb5.csv</t>
  </si>
  <si>
    <t>post_ablate/cam5/12_19_25/5A-rat5/2025-12-19_15_13_50_camcommerb5/postablate_cam5_12_19_25_5A-rat5_2025-12-19_15_13_50_camcommerb5.csv</t>
  </si>
  <si>
    <t>postablate_cam5_12_19_25_5A-rat5_2025-12-19_15_13_50_camcommerb5.csv</t>
  </si>
  <si>
    <t>postablate_cam5_12_19_25_5A-rat5_2025-12-19_15_13_50_camcommerb5</t>
  </si>
  <si>
    <t>/zfsgpu3/storage/lrn_project/josh_project/josh_lrn-gtk-2025-12-05/experimental_videos/post_ablate/cam5/12_19_25/5A-rat5/2025-12-19_15_14_06_camcommerb5/postablate_cam5_12_19_25_5A-rat5_2025-12-19_15_14_06_camcommerb5.csv</t>
  </si>
  <si>
    <t>post_ablate/cam5/12_19_25/5A-rat5/2025-12-19_15_14_06_camcommerb5/postablate_cam5_12_19_25_5A-rat5_2025-12-19_15_14_06_camcommerb5.csv</t>
  </si>
  <si>
    <t>postablate_cam5_12_19_25_5A-rat5_2025-12-19_15_14_06_camcommerb5.csv</t>
  </si>
  <si>
    <t>postablate_cam5_12_19_25_5A-rat5_2025-12-19_15_14_06_camcommerb5</t>
  </si>
  <si>
    <t>/zfsgpu3/storage/lrn_project/josh_project/josh_lrn-gtk-2025-12-05/experimental_videos/post_ablate/cam5/12_19_25/5B-rat2/2025-12-19_15_35_14_camcommerb5/postablate_cam5_12_19_25_5B-rat2_2025-12-19_15_35_14_camcommerb5.csv</t>
  </si>
  <si>
    <t>post_ablate/cam5/12_19_25/5B-rat2/2025-12-19_15_35_14_camcommerb5/postablate_cam5_12_19_25_5B-rat2_2025-12-19_15_35_14_camcommerb5.csv</t>
  </si>
  <si>
    <t>postablate_cam5_12_19_25_5B-rat2_2025-12-19_15_35_14_camcommerb5.csv</t>
  </si>
  <si>
    <t>postablate_cam5_12_19_25_5B-rat2_2025-12-19_15_35_14_camcommerb5</t>
  </si>
  <si>
    <t>/zfsgpu3/storage/lrn_project/josh_project/josh_lrn-gtk-2025-12-05/experimental_videos/post_ablate/cam5/12_19_25/5B-rat2/2025-12-19_15_35_26_camcommerb5/postablate_cam5_12_19_25_5B-rat2_2025-12-19_15_35_26_camcommerb5.csv</t>
  </si>
  <si>
    <t>post_ablate/cam5/12_19_25/5B-rat2/2025-12-19_15_35_26_camcommerb5/postablate_cam5_12_19_25_5B-rat2_2025-12-19_15_35_26_camcommerb5.csv</t>
  </si>
  <si>
    <t>postablate_cam5_12_19_25_5B-rat2_2025-12-19_15_35_26_camcommerb5.csv</t>
  </si>
  <si>
    <t>postablate_cam5_12_19_25_5B-rat2_2025-12-19_15_35_26_camcommerb5</t>
  </si>
  <si>
    <t>/zfsgpu3/storage/lrn_project/josh_project/josh_lrn-gtk-2025-12-05/experimental_videos/post_ablate/cam5/12_19_25/5B-rat2/2025-12-19_15_35_47_camcommerb5/postablate_cam5_12_19_25_5B-rat2_2025-12-19_15_35_47_camcommerb5.csv</t>
  </si>
  <si>
    <t>post_ablate/cam5/12_19_25/5B-rat2/2025-12-19_15_35_47_camcommerb5/postablate_cam5_12_19_25_5B-rat2_2025-12-19_15_35_47_camcommerb5.csv</t>
  </si>
  <si>
    <t>postablate_cam5_12_19_25_5B-rat2_2025-12-19_15_35_47_camcommerb5.csv</t>
  </si>
  <si>
    <t>postablate_cam5_12_19_25_5B-rat2_2025-12-19_15_35_47_camcommerb5</t>
  </si>
  <si>
    <t>/zfsgpu3/storage/lrn_project/josh_project/josh_lrn-gtk-2025-12-05/experimental_videos/post_ablate/cam5/12_19_25/5B-rat2/2025-12-19_15_35_57_camcommerb5/postablate_cam5_12_19_25_5B-rat2_2025-12-19_15_35_57_camcommerb5.csv</t>
  </si>
  <si>
    <t>post_ablate/cam5/12_19_25/5B-rat2/2025-12-19_15_35_57_camcommerb5/postablate_cam5_12_19_25_5B-rat2_2025-12-19_15_35_57_camcommerb5.csv</t>
  </si>
  <si>
    <t>postablate_cam5_12_19_25_5B-rat2_2025-12-19_15_35_57_camcommerb5.csv</t>
  </si>
  <si>
    <t>postablate_cam5_12_19_25_5B-rat2_2025-12-19_15_35_57_camcommerb5</t>
  </si>
  <si>
    <t>/zfsgpu3/storage/lrn_project/josh_project/josh_lrn-gtk-2025-12-05/experimental_videos/post_ablate/cam5/12_19_25/5B-rat2/2025-12-19_15_36_45_camcommerb5/postablate_cam5_12_19_25_5B-rat2_2025-12-19_15_36_45_camcommerb5.csv</t>
  </si>
  <si>
    <t>post_ablate/cam5/12_19_25/5B-rat2/2025-12-19_15_36_45_camcommerb5/postablate_cam5_12_19_25_5B-rat2_2025-12-19_15_36_45_camcommerb5.csv</t>
  </si>
  <si>
    <t>postablate_cam5_12_19_25_5B-rat2_2025-12-19_15_36_45_camcommerb5.csv</t>
  </si>
  <si>
    <t>postablate_cam5_12_19_25_5B-rat2_2025-12-19_15_36_45_camcommerb5</t>
  </si>
  <si>
    <t>/zfsgpu3/storage/lrn_project/josh_project/josh_lrn-gtk-2025-12-05/experimental_videos/post_ablate/cam5/12_19_25/5A-rat3/2025-12-19_14_43_44_camcommerb5/postablate_cam5_12_19_25_5A-rat3_2025-12-19_14_43_44_camcommerb5.csv</t>
  </si>
  <si>
    <t>post_ablate/cam5/12_19_25/5A-rat3/2025-12-19_14_43_44_camcommerb5/postablate_cam5_12_19_25_5A-rat3_2025-12-19_14_43_44_camcommerb5.csv</t>
  </si>
  <si>
    <t>postablate_cam5_12_19_25_5A-rat3_2025-12-19_14_43_44_camcommerb5.csv</t>
  </si>
  <si>
    <t>postablate_cam5_12_19_25_5A-rat3_2025-12-19_14_43_44_camcommerb5</t>
  </si>
  <si>
    <t>/zfsgpu3/storage/lrn_project/josh_project/josh_lrn-gtk-2025-12-05/experimental_videos/post_ablate/cam5/12_19_25/5A-rat3/2025-12-19_14_44_04_camcommerb5/postablate_cam5_12_19_25_5A-rat3_2025-12-19_14_44_04_camcommerb5.csv</t>
  </si>
  <si>
    <t>post_ablate/cam5/12_19_25/5A-rat3/2025-12-19_14_44_04_camcommerb5/postablate_cam5_12_19_25_5A-rat3_2025-12-19_14_44_04_camcommerb5.csv</t>
  </si>
  <si>
    <t>postablate_cam5_12_19_25_5A-rat3_2025-12-19_14_44_04_camcommerb5.csv</t>
  </si>
  <si>
    <t>postablate_cam5_12_19_25_5A-rat3_2025-12-19_14_44_04_camcommerb5</t>
  </si>
  <si>
    <t>/zfsgpu3/storage/lrn_project/josh_project/josh_lrn-gtk-2025-12-05/experimental_videos/post_ablate/cam5/12_19_25/5A-rat3/2025-12-19_14_44_40_camcommerb5/postablate_cam5_12_19_25_5A-rat3_2025-12-19_14_44_40_camcommerb5.csv</t>
  </si>
  <si>
    <t>post_ablate/cam5/12_19_25/5A-rat3/2025-12-19_14_44_40_camcommerb5/postablate_cam5_12_19_25_5A-rat3_2025-12-19_14_44_40_camcommerb5.csv</t>
  </si>
  <si>
    <t>postablate_cam5_12_19_25_5A-rat3_2025-12-19_14_44_40_camcommerb5.csv</t>
  </si>
  <si>
    <t>postablate_cam5_12_19_25_5A-rat3_2025-12-19_14_44_40_camcommerb5</t>
  </si>
  <si>
    <t>/zfsgpu3/storage/lrn_project/josh_project/josh_lrn-gtk-2025-12-05/experimental_videos/post_ablate/cam5/12_19_25/5A-rat3/2025-12-19_14_47_19_camcommerb5/postablate_cam5_12_19_25_5A-rat3_2025-12-19_14_47_19_camcommerb5.csv</t>
  </si>
  <si>
    <t>post_ablate/cam5/12_19_25/5A-rat3/2025-12-19_14_47_19_camcommerb5/postablate_cam5_12_19_25_5A-rat3_2025-12-19_14_47_19_camcommerb5.csv</t>
  </si>
  <si>
    <t>postablate_cam5_12_19_25_5A-rat3_2025-12-19_14_47_19_camcommerb5.csv</t>
  </si>
  <si>
    <t>postablate_cam5_12_19_25_5A-rat3_2025-12-19_14_47_19_camcommerb5</t>
  </si>
  <si>
    <t>/zfsgpu3/storage/lrn_project/josh_project/josh_lrn-gtk-2025-12-05/experimental_videos/post_ablate/cam5/12_19_25/5A-rat4/2025-12-19_14_59_17_camcommerb5/postablate_cam5_12_19_25_5A-rat4_2025-12-19_14_59_17_camcommerb5.csv</t>
  </si>
  <si>
    <t>post_ablate/cam5/12_19_25/5A-rat4/2025-12-19_14_59_17_camcommerb5/postablate_cam5_12_19_25_5A-rat4_2025-12-19_14_59_17_camcommerb5.csv</t>
  </si>
  <si>
    <t>postablate_cam5_12_19_25_5A-rat4_2025-12-19_14_59_17_camcommerb5.csv</t>
  </si>
  <si>
    <t>postablate_cam5_12_19_25_5A-rat4_2025-12-19_14_59_17_camcommerb5</t>
  </si>
  <si>
    <t>/zfsgpu3/storage/lrn_project/josh_project/josh_lrn-gtk-2025-12-05/experimental_videos/post_ablate/cam5/12_19_25/5A-rat4/2025-12-19_14_59_55_camcommerb5/postablate_cam5_12_19_25_5A-rat4_2025-12-19_14_59_55_camcommerb5.csv</t>
  </si>
  <si>
    <t>post_ablate/cam5/12_19_25/5A-rat4/2025-12-19_14_59_55_camcommerb5/postablate_cam5_12_19_25_5A-rat4_2025-12-19_14_59_55_camcommerb5.csv</t>
  </si>
  <si>
    <t>postablate_cam5_12_19_25_5A-rat4_2025-12-19_14_59_55_camcommerb5.csv</t>
  </si>
  <si>
    <t>postablate_cam5_12_19_25_5A-rat4_2025-12-19_14_59_55_camcommerb5</t>
  </si>
  <si>
    <t>/zfsgpu3/storage/lrn_project/josh_project/josh_lrn-gtk-2025-12-05/experimental_videos/post_ablate/cam5/12_19_25/5A-rat4/2025-12-19_15_00_09_camcommerb5/postablate_cam5_12_19_25_5A-rat4_2025-12-19_15_00_09_camcommerb5.csv</t>
  </si>
  <si>
    <t>post_ablate/cam5/12_19_25/5A-rat4/2025-12-19_15_00_09_camcommerb5/postablate_cam5_12_19_25_5A-rat4_2025-12-19_15_00_09_camcommerb5.csv</t>
  </si>
  <si>
    <t>postablate_cam5_12_19_25_5A-rat4_2025-12-19_15_00_09_camcommerb5.csv</t>
  </si>
  <si>
    <t>postablate_cam5_12_19_25_5A-rat4_2025-12-19_15_00_09_camcommerb5</t>
  </si>
  <si>
    <t>/zfsgpu3/storage/lrn_project/josh_project/josh_lrn-gtk-2025-12-05/experimental_videos/post_ablate/cam5/12_19_25/5B-rat2/2025-12-19_15_37_34_camcommerb5/postablate_cam5_12_19_25_5B-rat2_2025-12-19_15_37_34_camcommerb5.csv</t>
  </si>
  <si>
    <t>post_ablate/cam5/12_19_25/5B-rat2/2025-12-19_15_37_34_camcommerb5/postablate_cam5_12_19_25_5B-rat2_2025-12-19_15_37_34_camcommerb5.csv</t>
  </si>
  <si>
    <t>postablate_cam5_12_19_25_5B-rat2_2025-12-19_15_37_34_camcommerb5.csv</t>
  </si>
  <si>
    <t>postablate_cam5_12_19_25_5B-rat2_2025-12-19_15_37_34_camcommerb5</t>
  </si>
  <si>
    <t>/zfsgpu3/storage/lrn_project/josh_project/josh_lrn-gtk-2025-12-05/experimental_videos/post_ablate/cam5/12_19_25/5B-rat2/2025-12-19_15_39_35_camcommerb5/postablate_cam5_12_19_25_5B-rat2_2025-12-19_15_39_35_camcommerb5.csv</t>
  </si>
  <si>
    <t>post_ablate/cam5/12_19_25/5B-rat2/2025-12-19_15_39_35_camcommerb5/postablate_cam5_12_19_25_5B-rat2_2025-12-19_15_39_35_camcommerb5.csv</t>
  </si>
  <si>
    <t>postablate_cam5_12_19_25_5B-rat2_2025-12-19_15_39_35_camcommerb5.csv</t>
  </si>
  <si>
    <t>postablate_cam5_12_19_25_5B-rat2_2025-12-19_15_39_35_camcommerb5</t>
  </si>
  <si>
    <t>/zfsgpu3/storage/lrn_project/josh_project/josh_lrn-gtk-2025-12-05/experimental_videos/post_ablate/cam5/1_9_26/5A-rat3/2026-01-09_14_15_39_camcommerb5/postablate_cam5_1_9_26_5A-rat3_2026-01-09_14_15_39_camcommerb5.csv</t>
  </si>
  <si>
    <t>post_ablate/cam5/1_9_26/5A-rat3/2026-01-09_14_15_39_camcommerb5/postablate_cam5_1_9_26_5A-rat3_2026-01-09_14_15_39_camcommerb5.csv</t>
  </si>
  <si>
    <t>postablate_cam5_1_9_26_5A-rat3_2026-01-09_14_15_39_camcommerb5.csv</t>
  </si>
  <si>
    <t>postablate_cam5_1_9_26_5A-rat3_2026-01-09_14_15_39_camcommerb5</t>
  </si>
  <si>
    <t>/zfsgpu3/storage/lrn_project/josh_project/josh_lrn-gtk-2025-12-05/experimental_videos/post_ablate/cam5/1_9_26/5A-rat5/2026-01-09_14_26_33_camcommerb5/postablate_cam5_1_9_26_5A-rat5_2026-01-09_14_26_33_camcommerb5.csv</t>
  </si>
  <si>
    <t>post_ablate/cam5/1_9_26/5A-rat5/2026-01-09_14_26_33_camcommerb5/postablate_cam5_1_9_26_5A-rat5_2026-01-09_14_26_33_camcommerb5.csv</t>
  </si>
  <si>
    <t>postablate_cam5_1_9_26_5A-rat5_2026-01-09_14_26_33_camcommerb5.csv</t>
  </si>
  <si>
    <t>postablate_cam5_1_9_26_5A-rat5_2026-01-09_14_26_33_camcommerb5</t>
  </si>
  <si>
    <t>/zfsgpu3/storage/lrn_project/josh_project/josh_lrn-gtk-2025-12-05/experimental_videos/post_ablate/cam5/1_9_26/5A-rat5/2026-01-09_14_27_42_camcommerb5/postablate_cam5_1_9_26_5A-rat5_2026-01-09_14_27_42_camcommerb5.csv</t>
  </si>
  <si>
    <t>post_ablate/cam5/1_9_26/5A-rat5/2026-01-09_14_27_42_camcommerb5/postablate_cam5_1_9_26_5A-rat5_2026-01-09_14_27_42_camcommerb5.csv</t>
  </si>
  <si>
    <t>postablate_cam5_1_9_26_5A-rat5_2026-01-09_14_27_42_camcommerb5.csv</t>
  </si>
  <si>
    <t>postablate_cam5_1_9_26_5A-rat5_2026-01-09_14_27_42_camcommerb5</t>
  </si>
  <si>
    <t>/zfsgpu3/storage/lrn_project/josh_project/josh_lrn-gtk-2025-12-05/experimental_videos/post_ablate/cam5/1_9_26/5A-rat5/2026-01-09_14_28_52_camcommerb5/postablate_cam5_1_9_26_5A-rat5_2026-01-09_14_28_52_camcommerb5.csv</t>
  </si>
  <si>
    <t>post_ablate/cam5/1_9_26/5A-rat5/2026-01-09_14_28_52_camcommerb5/postablate_cam5_1_9_26_5A-rat5_2026-01-09_14_28_52_camcommerb5.csv</t>
  </si>
  <si>
    <t>postablate_cam5_1_9_26_5A-rat5_2026-01-09_14_28_52_camcommerb5.csv</t>
  </si>
  <si>
    <t>postablate_cam5_1_9_26_5A-rat5_2026-01-09_14_28_52_camcommerb5</t>
  </si>
  <si>
    <t>/zfsgpu3/storage/lrn_project/josh_project/josh_lrn-gtk-2025-12-05/experimental_videos/post_ablate/cam5/1_9_26/5A-rat5/2026-01-09_14_29_20_camcommerb5/postablate_cam5_1_9_26_5A-rat5_2026-01-09_14_29_20_camcommerb5.csv</t>
  </si>
  <si>
    <t>post_ablate/cam5/1_9_26/5A-rat5/2026-01-09_14_29_20_camcommerb5/postablate_cam5_1_9_26_5A-rat5_2026-01-09_14_29_20_camcommerb5.csv</t>
  </si>
  <si>
    <t>postablate_cam5_1_9_26_5A-rat5_2026-01-09_14_29_20_camcommerb5.csv</t>
  </si>
  <si>
    <t>postablate_cam5_1_9_26_5A-rat5_2026-01-09_14_29_20_camcommerb5</t>
  </si>
  <si>
    <t>/zfsgpu3/storage/lrn_project/josh_project/josh_lrn-gtk-2025-12-05/experimental_videos/post_ablate/cam5/1_9_26/5A-rat5/2026-01-09_14_29_34_camcommerb5/postablate_cam5_1_9_26_5A-rat5_2026-01-09_14_29_34_camcommerb5.csv</t>
  </si>
  <si>
    <t>post_ablate/cam5/1_9_26/5A-rat5/2026-01-09_14_29_34_camcommerb5/postablate_cam5_1_9_26_5A-rat5_2026-01-09_14_29_34_camcommerb5.csv</t>
  </si>
  <si>
    <t>postablate_cam5_1_9_26_5A-rat5_2026-01-09_14_29_34_camcommerb5.csv</t>
  </si>
  <si>
    <t>postablate_cam5_1_9_26_5A-rat5_2026-01-09_14_29_34_camcommerb5</t>
  </si>
  <si>
    <t>/zfsgpu3/storage/lrn_project/josh_project/josh_lrn-gtk-2025-12-05/experimental_videos/post_ablate/cam5/1_9_26/5A-rat3/2026-01-09_14_14_13_camcommerb5/postablate_cam5_1_9_26_5A-rat3_2026-01-09_14_14_13_camcommerb5.csv</t>
  </si>
  <si>
    <t>post_ablate/cam5/1_9_26/5A-rat3/2026-01-09_14_14_13_camcommerb5/postablate_cam5_1_9_26_5A-rat3_2026-01-09_14_14_13_camcommerb5.csv</t>
  </si>
  <si>
    <t>postablate_cam5_1_9_26_5A-rat3_2026-01-09_14_14_13_camcommerb5.csv</t>
  </si>
  <si>
    <t>postablate_cam5_1_9_26_5A-rat3_2026-01-09_14_14_13_camcommerb5</t>
  </si>
  <si>
    <t>/zfsgpu3/storage/lrn_project/josh_project/josh_lrn-gtk-2025-12-05/experimental_videos/post_ablate/cam5/1_9_26/5A-rat3/2026-01-09_14_13_41_camcommerb5/postablate_cam5_1_9_26_5A-rat3_2026-01-09_14_13_41_camcommerb5.csv</t>
  </si>
  <si>
    <t>post_ablate/cam5/1_9_26/5A-rat3/2026-01-09_14_13_41_camcommerb5/postablate_cam5_1_9_26_5A-rat3_2026-01-09_14_13_41_camcommerb5.csv</t>
  </si>
  <si>
    <t>postablate_cam5_1_9_26_5A-rat3_2026-01-09_14_13_41_camcommerb5.csv</t>
  </si>
  <si>
    <t>postablate_cam5_1_9_26_5A-rat3_2026-01-09_14_13_41_camcommerb5</t>
  </si>
  <si>
    <t>/zfsgpu3/storage/lrn_project/josh_project/josh_lrn-gtk-2025-12-05/experimental_videos/post_ablate/cam5/1_9_26/5A-rat3/2026-01-09_14_13_07_camcommerb5/postablate_cam5_1_9_26_5A-rat3_2026-01-09_14_13_07_camcommerb5.csv</t>
  </si>
  <si>
    <t>post_ablate/cam5/1_9_26/5A-rat3/2026-01-09_14_13_07_camcommerb5/postablate_cam5_1_9_26_5A-rat3_2026-01-09_14_13_07_camcommerb5.csv</t>
  </si>
  <si>
    <t>postablate_cam5_1_9_26_5A-rat3_2026-01-09_14_13_07_camcommerb5.csv</t>
  </si>
  <si>
    <t>postablate_cam5_1_9_26_5A-rat3_2026-01-09_14_13_07_camcommerb5</t>
  </si>
  <si>
    <t>/zfsgpu3/storage/lrn_project/josh_project/josh_lrn-gtk-2025-12-05/experimental_videos/post_ablate/cam5/12_19_25/5B-rat2/2025-12-19_15_39_45_camcommerb5/postablate_cam5_12_19_25_5B-rat2_2025-12-19_15_39_45_camcommerb5.csv</t>
  </si>
  <si>
    <t>post_ablate/cam5/12_19_25/5B-rat2/2025-12-19_15_39_45_camcommerb5/postablate_cam5_12_19_25_5B-rat2_2025-12-19_15_39_45_camcommerb5.csv</t>
  </si>
  <si>
    <t>postablate_cam5_12_19_25_5B-rat2_2025-12-19_15_39_45_camcommerb5.csv</t>
  </si>
  <si>
    <t>postablate_cam5_12_19_25_5B-rat2_2025-12-19_15_39_45_camcommerb5</t>
  </si>
  <si>
    <t>/zfsgpu3/storage/lrn_project/josh_project/josh_lrn-gtk-2025-12-05/experimental_videos/post_ablate/cam5/12_19_25/5B-rat2/2025-12-19_15_40_28_camcommerb5/postablate_cam5_12_19_25_5B-rat2_2025-12-19_15_40_28_camcommerb5.csv</t>
  </si>
  <si>
    <t>post_ablate/cam5/12_19_25/5B-rat2/2025-12-19_15_40_28_camcommerb5/postablate_cam5_12_19_25_5B-rat2_2025-12-19_15_40_28_camcommerb5.csv</t>
  </si>
  <si>
    <t>postablate_cam5_12_19_25_5B-rat2_2025-12-19_15_40_28_camcommerb5.csv</t>
  </si>
  <si>
    <t>postablate_cam5_12_19_25_5B-rat2_2025-12-19_15_40_28_camcommerb5</t>
  </si>
  <si>
    <t>/zfsgpu3/storage/lrn_project/josh_project/josh_lrn-gtk-2025-12-05/experimental_videos/post_ablate/cam5/12_19_25/5B-rat2/2025-12-19_15_41_53_camcommerb5/postablate_cam5_12_19_25_5B-rat2_2025-12-19_15_41_53_camcommerb5.csv</t>
  </si>
  <si>
    <t>post_ablate/cam5/12_19_25/5B-rat2/2025-12-19_15_41_53_camcommerb5/postablate_cam5_12_19_25_5B-rat2_2025-12-19_15_41_53_camcommerb5.csv</t>
  </si>
  <si>
    <t>postablate_cam5_12_19_25_5B-rat2_2025-12-19_15_41_53_camcommerb5.csv</t>
  </si>
  <si>
    <t>postablate_cam5_12_19_25_5B-rat2_2025-12-19_15_41_53_camcommerb5</t>
  </si>
  <si>
    <t>/zfsgpu3/storage/lrn_project/josh_project/josh_lrn-gtk-2025-12-05/experimental_videos/post_ablate/cam5/12_19_25/5B-rat6/2025-12-19_15_23_25_camcommerb5/postablate_cam5_12_19_25_5B-rat6_2025-12-19_15_23_25_camcommerb5.csv</t>
  </si>
  <si>
    <t>post_ablate/cam5/12_19_25/5B-rat6/2025-12-19_15_23_25_camcommerb5/postablate_cam5_12_19_25_5B-rat6_2025-12-19_15_23_25_camcommerb5.csv</t>
  </si>
  <si>
    <t>postablate_cam5_12_19_25_5B-rat6_2025-12-19_15_23_25_camcommerb5.csv</t>
  </si>
  <si>
    <t>postablate_cam5_12_19_25_5B-rat6_2025-12-19_15_23_25_camcommerb5</t>
  </si>
  <si>
    <t>/zfsgpu3/storage/lrn_project/josh_project/josh_lrn-gtk-2025-12-05/experimental_videos/post_ablate/cam5/12_19_25/5B-rat6/2025-12-19_15_24_35_camcommerb5/postablate_cam5_12_19_25_5B-rat6_2025-12-19_15_24_35_camcommerb5.csv</t>
  </si>
  <si>
    <t>post_ablate/cam5/12_19_25/5B-rat6/2025-12-19_15_24_35_camcommerb5/postablate_cam5_12_19_25_5B-rat6_2025-12-19_15_24_35_camcommerb5.csv</t>
  </si>
  <si>
    <t>postablate_cam5_12_19_25_5B-rat6_2025-12-19_15_24_35_camcommerb5.csv</t>
  </si>
  <si>
    <t>postablate_cam5_12_19_25_5B-rat6_2025-12-19_15_24_35_camcommerb5</t>
  </si>
  <si>
    <t>/zfsgpu3/storage/lrn_project/josh_project/josh_lrn-gtk-2025-12-05/experimental_videos/post_ablate/cam5/12_19_25/5B-rat6/2025-12-19_15_26_04_camcommerb5/postablate_cam5_12_19_25_5B-rat6_2025-12-19_15_26_04_camcommerb5.csv</t>
  </si>
  <si>
    <t>post_ablate/cam5/12_19_25/5B-rat6/2025-12-19_15_26_04_camcommerb5/postablate_cam5_12_19_25_5B-rat6_2025-12-19_15_26_04_camcommerb5.csv</t>
  </si>
  <si>
    <t>postablate_cam5_12_19_25_5B-rat6_2025-12-19_15_26_04_camcommerb5.csv</t>
  </si>
  <si>
    <t>postablate_cam5_12_19_25_5B-rat6_2025-12-19_15_26_04_camcommerb5</t>
  </si>
  <si>
    <t>/zfsgpu3/storage/lrn_project/josh_project/josh_lrn-gtk-2025-12-05/experimental_videos/post_ablate/cam5/12_19_25/5B-rat6/2025-12-19_15_26_14_camcommerb5/postablate_cam5_12_19_25_5B-rat6_2025-12-19_15_26_14_camcommerb5.csv</t>
  </si>
  <si>
    <t>post_ablate/cam5/12_19_25/5B-rat6/2025-12-19_15_26_14_camcommerb5/postablate_cam5_12_19_25_5B-rat6_2025-12-19_15_26_14_camcommerb5.csv</t>
  </si>
  <si>
    <t>postablate_cam5_12_19_25_5B-rat6_2025-12-19_15_26_14_camcommerb5.csv</t>
  </si>
  <si>
    <t>postablate_cam5_12_19_25_5B-rat6_2025-12-19_15_26_14_camcommerb5</t>
  </si>
  <si>
    <t>/zfsgpu3/storage/lrn_project/josh_project/josh_lrn-gtk-2025-12-05/experimental_videos/post_ablate/cam5/12_19_25/5B-rat6/2025-12-19_15_27_54_camcommerb5/postablate_cam5_12_19_25_5B-rat6_2025-12-19_15_27_54_camcommerb5.csv</t>
  </si>
  <si>
    <t>post_ablate/cam5/12_19_25/5B-rat6/2025-12-19_15_27_54_camcommerb5/postablate_cam5_12_19_25_5B-rat6_2025-12-19_15_27_54_camcommerb5.csv</t>
  </si>
  <si>
    <t>postablate_cam5_12_19_25_5B-rat6_2025-12-19_15_27_54_camcommerb5.csv</t>
  </si>
  <si>
    <t>postablate_cam5_12_19_25_5B-rat6_2025-12-19_15_27_54_camcommerb5</t>
  </si>
  <si>
    <t>/zfsgpu3/storage/lrn_project/josh_project/josh_lrn-gtk-2025-12-05/experimental_videos/post_ablate/cam5/12_19_25/5B-rat6/2025-12-19_15_28_11_camcommerb5/postablate_cam5_12_19_25_5B-rat6_2025-12-19_15_28_11_camcommerb5.csv</t>
  </si>
  <si>
    <t>post_ablate/cam5/12_19_25/5B-rat6/2025-12-19_15_28_11_camcommerb5/postablate_cam5_12_19_25_5B-rat6_2025-12-19_15_28_11_camcommerb5.csv</t>
  </si>
  <si>
    <t>postablate_cam5_12_19_25_5B-rat6_2025-12-19_15_28_11_camcommerb5.csv</t>
  </si>
  <si>
    <t>postablate_cam5_12_19_25_5B-rat6_2025-12-19_15_28_11_camcommerb5</t>
  </si>
  <si>
    <t>/zfsgpu3/storage/lrn_project/josh_project/josh_lrn-gtk-2025-12-05/experimental_videos/post_ablate/cam5/12_19_25/5B-rat6/2025-12-19_15_28_42_camcommerb5/postablate_cam5_12_19_25_5B-rat6_2025-12-19_15_28_42_camcommerb5.csv</t>
  </si>
  <si>
    <t>post_ablate/cam5/12_19_25/5B-rat6/2025-12-19_15_28_42_camcommerb5/postablate_cam5_12_19_25_5B-rat6_2025-12-19_15_28_42_camcommerb5.csv</t>
  </si>
  <si>
    <t>postablate_cam5_12_19_25_5B-rat6_2025-12-19_15_28_42_camcommerb5.csv</t>
  </si>
  <si>
    <t>postablate_cam5_12_19_25_5B-rat6_2025-12-19_15_28_42_camcommerb5</t>
  </si>
  <si>
    <t>/zfsgpu3/storage/lrn_project/josh_project/josh_lrn-gtk-2025-12-05/experimental_videos/post_ablate/cam5/1_9_26/5A-rat3/2026-01-09_14_08_35_camcommerb5/postablate_cam5_1_9_26_5A-rat3_2026-01-09_14_08_35_camcommerb5.csv</t>
  </si>
  <si>
    <t>post_ablate/cam5/1_9_26/5A-rat3/2026-01-09_14_08_35_camcommerb5/postablate_cam5_1_9_26_5A-rat3_2026-01-09_14_08_35_camcommerb5.csv</t>
  </si>
  <si>
    <t>postablate_cam5_1_9_26_5A-rat3_2026-01-09_14_08_35_camcommerb5.csv</t>
  </si>
  <si>
    <t>postablate_cam5_1_9_26_5A-rat3_2026-01-09_14_08_35_camcommerb5</t>
  </si>
  <si>
    <t>/zfsgpu3/storage/lrn_project/josh_project/josh_lrn-gtk-2025-12-05/experimental_videos/post_ablate/cam5/1_9_26/5A-rat3/2026-01-09_14_08_56_camcommerb5/postablate_cam5_1_9_26_5A-rat3_2026-01-09_14_08_56_camcommerb5.csv</t>
  </si>
  <si>
    <t>post_ablate/cam5/1_9_26/5A-rat3/2026-01-09_14_08_56_camcommerb5/postablate_cam5_1_9_26_5A-rat3_2026-01-09_14_08_56_camcommerb5.csv</t>
  </si>
  <si>
    <t>postablate_cam5_1_9_26_5A-rat3_2026-01-09_14_08_56_camcommerb5.csv</t>
  </si>
  <si>
    <t>postablate_cam5_1_9_26_5A-rat3_2026-01-09_14_08_56_camcommerb5</t>
  </si>
  <si>
    <t>/zfsgpu3/storage/lrn_project/josh_project/josh_lrn-gtk-2025-12-05/experimental_videos/post_ablate/cam5/1_9_26/5A-rat3/2026-01-09_14_09_12_camcommerb5/postablate_cam5_1_9_26_5A-rat3_2026-01-09_14_09_12_camcommerb5.csv</t>
  </si>
  <si>
    <t>post_ablate/cam5/1_9_26/5A-rat3/2026-01-09_14_09_12_camcommerb5/postablate_cam5_1_9_26_5A-rat3_2026-01-09_14_09_12_camcommerb5.csv</t>
  </si>
  <si>
    <t>postablate_cam5_1_9_26_5A-rat3_2026-01-09_14_09_12_camcommerb5.csv</t>
  </si>
  <si>
    <t>postablate_cam5_1_9_26_5A-rat3_2026-01-09_14_09_12_camcommerb5</t>
  </si>
  <si>
    <t>/zfsgpu3/storage/lrn_project/josh_project/josh_lrn-gtk-2025-12-05/experimental_videos/post_ablate/cam5/1_9_26/5A-rat3/2026-01-09_14_11_16_camcommerb5/postablate_cam5_1_9_26_5A-rat3_2026-01-09_14_11_16_camcommerb5.csv</t>
  </si>
  <si>
    <t>post_ablate/cam5/1_9_26/5A-rat3/2026-01-09_14_11_16_camcommerb5/postablate_cam5_1_9_26_5A-rat3_2026-01-09_14_11_16_camcommerb5.csv</t>
  </si>
  <si>
    <t>postablate_cam5_1_9_26_5A-rat3_2026-01-09_14_11_16_camcommerb5.csv</t>
  </si>
  <si>
    <t>postablate_cam5_1_9_26_5A-rat3_2026-01-09_14_11_16_camcommerb5</t>
  </si>
  <si>
    <t>/zfsgpu3/storage/lrn_project/josh_project/josh_lrn-gtk-2025-12-05/experimental_videos/post_ablate/cam5/1_9_26/5A-rat3/2026-01-09_14_13_27_camcommerb5/postablate_cam5_1_9_26_5A-rat3_2026-01-09_14_13_27_camcommerb5.csv</t>
  </si>
  <si>
    <t>post_ablate/cam5/1_9_26/5A-rat3/2026-01-09_14_13_27_camcommerb5/postablate_cam5_1_9_26_5A-rat3_2026-01-09_14_13_27_camcommerb5.csv</t>
  </si>
  <si>
    <t>postablate_cam5_1_9_26_5A-rat3_2026-01-09_14_13_27_camcommerb5.csv</t>
  </si>
  <si>
    <t>postablate_cam5_1_9_26_5A-rat3_2026-01-09_14_13_27_camcommerb5</t>
  </si>
  <si>
    <t>/zfsgpu3/storage/lrn_project/josh_project/josh_lrn-gtk-2025-12-05/experimental_videos/11_26_25/Cohort_5B/11_26_25/cam5-5B/rat6/2025-11-26_13_39_44_camcommerb5/Cohort_5B_cam5_rat6_2025-11-26_13_39_44.csv</t>
  </si>
  <si>
    <t>11_26_25/Cohort_5B/11_26_25/cam5-5B/rat6/2025-11-26_13_39_44_camcommerb5/Cohort_5B_cam5_rat6_2025-11-26_13_39_44.csv</t>
  </si>
  <si>
    <t>Cohort_5B_cam5_rat6_2025-11-26_13_39_44.csv</t>
  </si>
  <si>
    <t>Cohort_5B_cam5_rat6_2025-11-26_13_39_44</t>
  </si>
  <si>
    <t>/zfsgpu3/storage/lrn_project/josh_project/josh_lrn-gtk-2025-12-05/experimental_videos/11_26_25/Cohort_5B/11_26_25/cam5-5B/rat6/2025-11-26_13_39_35_camcommerb5/Cohort_5B_cam5_rat6_2025-11-26_13_39_35.csv</t>
  </si>
  <si>
    <t>11_26_25/Cohort_5B/11_26_25/cam5-5B/rat6/2025-11-26_13_39_35_camcommerb5/Cohort_5B_cam5_rat6_2025-11-26_13_39_35.csv</t>
  </si>
  <si>
    <t>Cohort_5B_cam5_rat6_2025-11-26_13_39_35.csv</t>
  </si>
  <si>
    <t>Cohort_5B_cam5_rat6_2025-11-26_13_39_35</t>
  </si>
  <si>
    <t>/zfsgpu3/storage/lrn_project/josh_project/josh_lrn-gtk-2025-12-05/experimental_videos/11_26_25/Cohort_5B/11_26_25/cam5-5B/rat6/2025-11-26_13_38_45_camcommerb5/Cohort_5B_cam5_rat6_2025-11-26_13_38_45.csv</t>
  </si>
  <si>
    <t>11_26_25/Cohort_5B/11_26_25/cam5-5B/rat6/2025-11-26_13_38_45_camcommerb5/Cohort_5B_cam5_rat6_2025-11-26_13_38_45.csv</t>
  </si>
  <si>
    <t>Cohort_5B_cam5_rat6_2025-11-26_13_38_45.csv</t>
  </si>
  <si>
    <t>Cohort_5B_cam5_rat6_2025-11-26_13_38_45</t>
  </si>
  <si>
    <t>/zfsgpu3/storage/lrn_project/josh_project/josh_lrn-gtk-2025-12-05/experimental_videos/11_26_25/Cohort_5B/11_26_25/cam5-5B/rat6/2025-11-26_13_38_09_camcommerb5/Cohort_5B_cam5_rat6_2025-11-26_13_38_09.csv</t>
  </si>
  <si>
    <t>11_26_25/Cohort_5B/11_26_25/cam5-5B/rat6/2025-11-26_13_38_09_camcommerb5/Cohort_5B_cam5_rat6_2025-11-26_13_38_09.csv</t>
  </si>
  <si>
    <t>Cohort_5B_cam5_rat6_2025-11-26_13_38_09.csv</t>
  </si>
  <si>
    <t>Cohort_5B_cam5_rat6_2025-11-26_13_38_09</t>
  </si>
  <si>
    <t>/zfsgpu3/storage/lrn_project/josh_project/josh_lrn-gtk-2025-12-05/experimental_videos/11_26_25/Cohort_5B/11_26_25/cam5-5B/rat6/2025-11-26_13_37_59_camcommerb5/Cohort_5B_cam5_rat6_2025-11-26_13_37_59.csv</t>
  </si>
  <si>
    <t>11_26_25/Cohort_5B/11_26_25/cam5-5B/rat6/2025-11-26_13_37_59_camcommerb5/Cohort_5B_cam5_rat6_2025-11-26_13_37_59.csv</t>
  </si>
  <si>
    <t>Cohort_5B_cam5_rat6_2025-11-26_13_37_59.csv</t>
  </si>
  <si>
    <t>Cohort_5B_cam5_rat6_2025-11-26_13_37_59</t>
  </si>
  <si>
    <t>/zfsgpu3/storage/lrn_project/josh_project/josh_lrn-gtk-2025-12-05/experimental_videos/11_26_25/Cohort_5B/11_26_25/cam5-5B/rat6/2025-11-26_13_37_33_camcommerb5/Cohort_5B_cam5_rat6_2025-11-26_13_37_33.csv</t>
  </si>
  <si>
    <t>11_26_25/Cohort_5B/11_26_25/cam5-5B/rat6/2025-11-26_13_37_33_camcommerb5/Cohort_5B_cam5_rat6_2025-11-26_13_37_33.csv</t>
  </si>
  <si>
    <t>Cohort_5B_cam5_rat6_2025-11-26_13_37_33.csv</t>
  </si>
  <si>
    <t>Cohort_5B_cam5_rat6_2025-11-26_13_37_33</t>
  </si>
  <si>
    <t>/zfsgpu3/storage/lrn_project/josh_project/josh_lrn-gtk-2025-12-05/experimental_videos/11_26_25/Cohort_5B/11_26_25/cam5-5B/rat6/2025-11-26_13_37_22_camcommerb5/Cohort_5B_cam5_rat6_2025-11-26_13_37_22.csv</t>
  </si>
  <si>
    <t>11_26_25/Cohort_5B/11_26_25/cam5-5B/rat6/2025-11-26_13_37_22_camcommerb5/Cohort_5B_cam5_rat6_2025-11-26_13_37_22.csv</t>
  </si>
  <si>
    <t>Cohort_5B_cam5_rat6_2025-11-26_13_37_22.csv</t>
  </si>
  <si>
    <t>Cohort_5B_cam5_rat6_2025-11-26_13_37_22</t>
  </si>
  <si>
    <t>/zfsgpu3/storage/lrn_project/josh_project/josh_lrn-gtk-2025-12-05/experimental_videos/11_26_25/Cohort_5B/11_26_25/cam5-5B/rat6/2025-11-26_13_40_57_camcommerb5/Cohort_5B_cam5_rat6_2025-11-26_13_40_57.csv</t>
  </si>
  <si>
    <t>11_26_25/Cohort_5B/11_26_25/cam5-5B/rat6/2025-11-26_13_40_57_camcommerb5/Cohort_5B_cam5_rat6_2025-11-26_13_40_57.csv</t>
  </si>
  <si>
    <t>Cohort_5B_cam5_rat6_2025-11-26_13_40_57.csv</t>
  </si>
  <si>
    <t>Cohort_5B_cam5_rat6_2025-11-26_13_40_57</t>
  </si>
  <si>
    <t>/zfsgpu3/storage/lrn_project/josh_project/josh_lrn-gtk-2025-12-05/experimental_videos/11_26_25/Cohort_5B/11_26_25/cam5-5B/rat6/2025-11-26_13_33_02_camcommerb5/Cohort_5B_cam5_rat6_2025-11-26_13_33_02.csv</t>
  </si>
  <si>
    <t>11_26_25/Cohort_5B/11_26_25/cam5-5B/rat6/2025-11-26_13_33_02_camcommerb5/Cohort_5B_cam5_rat6_2025-11-26_13_33_02.csv</t>
  </si>
  <si>
    <t>Cohort_5B_cam5_rat6_2025-11-26_13_33_02.csv</t>
  </si>
  <si>
    <t>Cohort_5B_cam5_rat6_2025-11-26_13_33_02</t>
  </si>
  <si>
    <t>/zfsgpu3/storage/lrn_project/josh_project/josh_lrn-gtk-2025-12-05/experimental_videos/11_26_25/Cohort_5B/11_26_25/cam5-5B/rat6/2025-11-26_13_32_50_camcommerb5/Cohort_5B_cam5_rat6_2025-11-26_13_32_50.csv</t>
  </si>
  <si>
    <t>11_26_25/Cohort_5B/11_26_25/cam5-5B/rat6/2025-11-26_13_32_50_camcommerb5/Cohort_5B_cam5_rat6_2025-11-26_13_32_50.csv</t>
  </si>
  <si>
    <t>Cohort_5B_cam5_rat6_2025-11-26_13_32_50.csv</t>
  </si>
  <si>
    <t>Cohort_5B_cam5_rat6_2025-11-26_13_32_50</t>
  </si>
  <si>
    <t>/zfsgpu3/storage/lrn_project/josh_project/josh_lrn-gtk-2025-12-05/experimental_videos/11_26_25/Cohort_5B/11_26_25/cam5-5B/rat5/2025-11-26_13_21_09_camcommerb5/Cohort_5B_cam5_rat5_2025-11-26_13_21_09.csv</t>
  </si>
  <si>
    <t>11_26_25/Cohort_5B/11_26_25/cam5-5B/rat5/2025-11-26_13_21_09_camcommerb5/Cohort_5B_cam5_rat5_2025-11-26_13_21_09.csv</t>
  </si>
  <si>
    <t>Cohort_5B_cam5_rat5_2025-11-26_13_21_09.csv</t>
  </si>
  <si>
    <t>Cohort_5B_cam5_rat5_2025-11-26_13_21_09</t>
  </si>
  <si>
    <t>/zfsgpu3/storage/lrn_project/josh_project/josh_lrn-gtk-2025-12-05/experimental_videos/11_26_25/Cohort_5B/11_26_25/cam5-5B/rat5/2025-11-26_13_20_56_camcommerb5/Cohort_5B_cam5_rat5_2025-11-26_13_20_56.csv</t>
  </si>
  <si>
    <t>11_26_25/Cohort_5B/11_26_25/cam5-5B/rat5/2025-11-26_13_20_56_camcommerb5/Cohort_5B_cam5_rat5_2025-11-26_13_20_56.csv</t>
  </si>
  <si>
    <t>Cohort_5B_cam5_rat5_2025-11-26_13_20_56.csv</t>
  </si>
  <si>
    <t>Cohort_5B_cam5_rat5_2025-11-26_13_20_56</t>
  </si>
  <si>
    <t>/zfsgpu3/storage/lrn_project/josh_project/josh_lrn-gtk-2025-12-05/experimental_videos/11_26_25/Cohort_5B/11_26_25/cam5-5B/rat6/2025-11-26_13_41_17_camcommerb5/Cohort_5B_cam5_rat6_2025-11-26_13_41_17.csv</t>
  </si>
  <si>
    <t>11_26_25/Cohort_5B/11_26_25/cam5-5B/rat6/2025-11-26_13_41_17_camcommerb5/Cohort_5B_cam5_rat6_2025-11-26_13_41_17.csv</t>
  </si>
  <si>
    <t>Cohort_5B_cam5_rat6_2025-11-26_13_41_17.csv</t>
  </si>
  <si>
    <t>Cohort_5B_cam5_rat6_2025-11-26_13_41_17</t>
  </si>
  <si>
    <t>/zfsgpu3/storage/lrn_project/josh_project/josh_lrn-gtk-2025-12-05/experimental_videos/11_26_25/Cohort_5A/cam5/11_26_25/rat5/2025-11-26_12_13_08_camcommerb5/Cohort_5A_cam5_rat5_2025-11-26_12_13_08.csv</t>
  </si>
  <si>
    <t>11_26_25/Cohort_5A/cam5/11_26_25/rat5/2025-11-26_12_13_08_camcommerb5/Cohort_5A_cam5_rat5_2025-11-26_12_13_08.csv</t>
  </si>
  <si>
    <t>Cohort_5A_cam5_rat5_2025-11-26_12_13_08.csv</t>
  </si>
  <si>
    <t>Cohort_5A_cam5_rat5_2025-11-26_12_13_08</t>
  </si>
  <si>
    <t>/zfsgpu3/storage/lrn_project/josh_project/josh_lrn-gtk-2025-12-05/experimental_videos/11_26_25/Cohort_5A/cam5/11_26_25/rat5/2025-11-26_12_13_30_camcommerb5/Cohort_5A_cam5_rat5_2025-11-26_12_13_30.csv</t>
  </si>
  <si>
    <t>11_26_25/Cohort_5A/cam5/11_26_25/rat5/2025-11-26_12_13_30_camcommerb5/Cohort_5A_cam5_rat5_2025-11-26_12_13_30.csv</t>
  </si>
  <si>
    <t>Cohort_5A_cam5_rat5_2025-11-26_12_13_30.csv</t>
  </si>
  <si>
    <t>Cohort_5A_cam5_rat5_2025-11-26_12_13_30</t>
  </si>
  <si>
    <t>/zfsgpu3/storage/lrn_project/josh_project/josh_lrn-gtk-2025-12-05/experimental_videos/11_26_25/Cohort_5A/cam5/11_26_25/rat5/2025-11-26_12_14_56_camcommerb5/Cohort_5A_cam5_rat5_2025-11-26_12_14_56.csv</t>
  </si>
  <si>
    <t>11_26_25/Cohort_5A/cam5/11_26_25/rat5/2025-11-26_12_14_56_camcommerb5/Cohort_5A_cam5_rat5_2025-11-26_12_14_56.csv</t>
  </si>
  <si>
    <t>Cohort_5A_cam5_rat5_2025-11-26_12_14_56.csv</t>
  </si>
  <si>
    <t>Cohort_5A_cam5_rat5_2025-11-26_12_14_56</t>
  </si>
  <si>
    <t>/zfsgpu3/storage/lrn_project/josh_project/josh_lrn-gtk-2025-12-05/experimental_videos/11_26_25/Cohort_5A/cam5/11_26_25/rat5/2025-11-26_12_15_58_camcommerb5/Cohort_5A_cam5_rat5_2025-11-26_12_15_58.csv</t>
  </si>
  <si>
    <t>11_26_25/Cohort_5A/cam5/11_26_25/rat5/2025-11-26_12_15_58_camcommerb5/Cohort_5A_cam5_rat5_2025-11-26_12_15_58.csv</t>
  </si>
  <si>
    <t>Cohort_5A_cam5_rat5_2025-11-26_12_15_58.csv</t>
  </si>
  <si>
    <t>Cohort_5A_cam5_rat5_2025-11-26_12_15_58</t>
  </si>
  <si>
    <t>/zfsgpu3/storage/lrn_project/josh_project/josh_lrn-gtk-2025-12-05/experimental_videos/11_26_25/Cohort_5A/cam5/11_26_25/rat5/2025-11-26_12_16_25_camcommerb5/Cohort_5A_cam5_rat5_2025-11-26_12_16_25.csv</t>
  </si>
  <si>
    <t>11_26_25/Cohort_5A/cam5/11_26_25/rat5/2025-11-26_12_16_25_camcommerb5/Cohort_5A_cam5_rat5_2025-11-26_12_16_25.csv</t>
  </si>
  <si>
    <t>Cohort_5A_cam5_rat5_2025-11-26_12_16_25.csv</t>
  </si>
  <si>
    <t>Cohort_5A_cam5_rat5_2025-11-26_12_16_25</t>
  </si>
  <si>
    <t>/zfsgpu3/storage/lrn_project/josh_project/josh_lrn-gtk-2025-12-05/experimental_videos/11_26_25/Cohort_5A/cam5/11_26_25/rat5/2025-11-26_12_18_03_camcommerb5/Cohort_5A_cam5_rat5_2025-11-26_12_18_03.csv</t>
  </si>
  <si>
    <t>11_26_25/Cohort_5A/cam5/11_26_25/rat5/2025-11-26_12_18_03_camcommerb5/Cohort_5A_cam5_rat5_2025-11-26_12_18_03.csv</t>
  </si>
  <si>
    <t>Cohort_5A_cam5_rat5_2025-11-26_12_18_03.csv</t>
  </si>
  <si>
    <t>Cohort_5A_cam5_rat5_2025-11-26_12_18_03</t>
  </si>
  <si>
    <t>/zfsgpu3/storage/lrn_project/josh_project/josh_lrn-gtk-2025-12-05/experimental_videos/11_26_25/Cohort_5A/cam5/11_26_25/rat5/2025-11-26_12_18_15_camcommerb5/Cohort_5A_cam5_rat5_2025-11-26_12_18_15.csv</t>
  </si>
  <si>
    <t>11_26_25/Cohort_5A/cam5/11_26_25/rat5/2025-11-26_12_18_15_camcommerb5/Cohort_5A_cam5_rat5_2025-11-26_12_18_15.csv</t>
  </si>
  <si>
    <t>Cohort_5A_cam5_rat5_2025-11-26_12_18_15.csv</t>
  </si>
  <si>
    <t>Cohort_5A_cam5_rat5_2025-11-26_12_18_15</t>
  </si>
  <si>
    <t>/zfsgpu3/storage/lrn_project/josh_project/josh_lrn-gtk-2025-12-05/experimental_videos/11_26_25/Cohort_5A/cam5/11_26_25/rat5/2025-11-26_12_18_32_camcommerb5/Cohort_5A_cam5_rat5_2025-11-26_12_18_32.csv</t>
  </si>
  <si>
    <t>11_26_25/Cohort_5A/cam5/11_26_25/rat5/2025-11-26_12_18_32_camcommerb5/Cohort_5A_cam5_rat5_2025-11-26_12_18_32.csv</t>
  </si>
  <si>
    <t>Cohort_5A_cam5_rat5_2025-11-26_12_18_32.csv</t>
  </si>
  <si>
    <t>Cohort_5A_cam5_rat5_2025-11-26_12_18_32</t>
  </si>
  <si>
    <t>/zfsgpu3/storage/lrn_project/josh_project/josh_lrn-gtk-2025-12-05/experimental_videos/11_26_25/Cohort_5A/cam5/11_26_25/rat5/2025-11-26_12_19_53_camcommerb5/Cohort_5A_cam5_rat5_2025-11-26_12_19_53.csv</t>
  </si>
  <si>
    <t>11_26_25/Cohort_5A/cam5/11_26_25/rat5/2025-11-26_12_19_53_camcommerb5/Cohort_5A_cam5_rat5_2025-11-26_12_19_53.csv</t>
  </si>
  <si>
    <t>Cohort_5A_cam5_rat5_2025-11-26_12_19_53.csv</t>
  </si>
  <si>
    <t>Cohort_5A_cam5_rat5_2025-11-26_12_19_53</t>
  </si>
  <si>
    <t>/zfsgpu3/storage/lrn_project/josh_project/josh_lrn-gtk-2025-12-05/experimental_videos/11_26_25/Cohort_5A/cam5/11_26_25/rat5/2025-11-26_12_20_17_camcommerb5/Cohort_5A_cam5_rat5_2025-11-26_12_20_17.csv</t>
  </si>
  <si>
    <t>11_26_25/Cohort_5A/cam5/11_26_25/rat5/2025-11-26_12_20_17_camcommerb5/Cohort_5A_cam5_rat5_2025-11-26_12_20_17.csv</t>
  </si>
  <si>
    <t>Cohort_5A_cam5_rat5_2025-11-26_12_20_17.csv</t>
  </si>
  <si>
    <t>Cohort_5A_cam5_rat5_2025-11-26_12_20_17</t>
  </si>
  <si>
    <t>/zfsgpu3/storage/lrn_project/josh_project/josh_lrn-gtk-2025-12-05/experimental_videos/11_26_25/Cohort_5A/cam5/11_26_25/rat6/2025-11-26_12_23_12_camcommerb5/Cohort_5A_cam5_rat6_2025-11-26_12_23_12.csv</t>
  </si>
  <si>
    <t>11_26_25/Cohort_5A/cam5/11_26_25/rat6/2025-11-26_12_23_12_camcommerb5/Cohort_5A_cam5_rat6_2025-11-26_12_23_12.csv</t>
  </si>
  <si>
    <t>Cohort_5A_cam5_rat6_2025-11-26_12_23_12.csv</t>
  </si>
  <si>
    <t>Cohort_5A_cam5_rat6_2025-11-26_12_23_12</t>
  </si>
  <si>
    <t>/zfsgpu3/storage/lrn_project/josh_project/josh_lrn-gtk-2025-12-05/experimental_videos/11_26_25/Cohort_5A/cam5/11_26_25/rat6/2025-11-26_12_26_51_camcommerb5/Cohort_5A_cam5_rat6_2025-11-26_12_26_51.csv</t>
  </si>
  <si>
    <t>11_26_25/Cohort_5A/cam5/11_26_25/rat6/2025-11-26_12_26_51_camcommerb5/Cohort_5A_cam5_rat6_2025-11-26_12_26_51.csv</t>
  </si>
  <si>
    <t>Cohort_5A_cam5_rat6_2025-11-26_12_26_51.csv</t>
  </si>
  <si>
    <t>Cohort_5A_cam5_rat6_2025-11-26_12_26_51</t>
  </si>
  <si>
    <t>/zfsgpu3/storage/lrn_project/josh_project/josh_lrn-gtk-2025-12-05/experimental_videos/11_26_25/Cohort_5A/cam5/11_26_25/rat6/2025-11-26_12_27_17_camcommerb5/Cohort_5A_cam5_rat6_2025-11-26_12_27_17.csv</t>
  </si>
  <si>
    <t>11_26_25/Cohort_5A/cam5/11_26_25/rat6/2025-11-26_12_27_17_camcommerb5/Cohort_5A_cam5_rat6_2025-11-26_12_27_17.csv</t>
  </si>
  <si>
    <t>Cohort_5A_cam5_rat6_2025-11-26_12_27_17.csv</t>
  </si>
  <si>
    <t>Cohort_5A_cam5_rat6_2025-11-26_12_27_17</t>
  </si>
  <si>
    <t>/zfsgpu3/storage/lrn_project/josh_project/josh_lrn-gtk-2025-12-05/experimental_videos/11_26_25/Cohort_5A/cam5/11_26_25/rat5/2025-11-26_12_12_55_camcommerb5/Cohort_5A_cam5_rat5_2025-11-26_12_12_55.csv</t>
  </si>
  <si>
    <t>11_26_25/Cohort_5A/cam5/11_26_25/rat5/2025-11-26_12_12_55_camcommerb5/Cohort_5A_cam5_rat5_2025-11-26_12_12_55.csv</t>
  </si>
  <si>
    <t>Cohort_5A_cam5_rat5_2025-11-26_12_12_55.csv</t>
  </si>
  <si>
    <t>Cohort_5A_cam5_rat5_2025-11-26_12_12_55</t>
  </si>
  <si>
    <t>/zfsgpu3/storage/lrn_project/josh_project/josh_lrn-gtk-2025-12-05/experimental_videos/11_26_25/Cohort_5B/11_26_25/cam5-5B/rat2/2025-11-26_12_48_07_camcommerb5/Cohort_5B_cam5_rat2_2025-11-26_12_48_07.csv</t>
  </si>
  <si>
    <t>11_26_25/Cohort_5B/11_26_25/cam5-5B/rat2/2025-11-26_12_48_07_camcommerb5/Cohort_5B_cam5_rat2_2025-11-26_12_48_07.csv</t>
  </si>
  <si>
    <t>Cohort_5B_cam5_rat2_2025-11-26_12_48_07.csv</t>
  </si>
  <si>
    <t>Cohort_5B_cam5_rat2_2025-11-26_12_48_07</t>
  </si>
  <si>
    <t>/zfsgpu3/storage/lrn_project/josh_project/josh_lrn-gtk-2025-12-05/experimental_videos/11_26_25/Cohort_5B/11_26_25/cam5-5B/rat2/2025-11-26_12_47_43_camcommerb5/Cohort_5B_cam5_rat2_2025-11-26_12_47_43.csv</t>
  </si>
  <si>
    <t>11_26_25/Cohort_5B/11_26_25/cam5-5B/rat2/2025-11-26_12_47_43_camcommerb5/Cohort_5B_cam5_rat2_2025-11-26_12_47_43.csv</t>
  </si>
  <si>
    <t>Cohort_5B_cam5_rat2_2025-11-26_12_47_43.csv</t>
  </si>
  <si>
    <t>Cohort_5B_cam5_rat2_2025-11-26_12_47_43</t>
  </si>
  <si>
    <t>/zfsgpu3/storage/lrn_project/josh_project/josh_lrn-gtk-2025-12-05/experimental_videos/11_26_25/Cohort_5B/11_26_25/cam5-5B/rat2/2025-11-26_12_47_31_camcommerb5/Cohort_5B_cam5_rat2_2025-11-26_12_47_31.csv</t>
  </si>
  <si>
    <t>11_26_25/Cohort_5B/11_26_25/cam5-5B/rat2/2025-11-26_12_47_31_camcommerb5/Cohort_5B_cam5_rat2_2025-11-26_12_47_31.csv</t>
  </si>
  <si>
    <t>Cohort_5B_cam5_rat2_2025-11-26_12_47_31.csv</t>
  </si>
  <si>
    <t>Cohort_5B_cam5_rat2_2025-11-26_12_47_31</t>
  </si>
  <si>
    <t>/zfsgpu3/storage/lrn_project/josh_project/josh_lrn-gtk-2025-12-05/experimental_videos/11_26_25/Cohort_5B/11_26_25/cam5-5B/rat2/2025-11-26_12_47_18_camcommerb5/Cohort_5B_cam5_rat2_2025-11-26_12_47_18.csv</t>
  </si>
  <si>
    <t>11_26_25/Cohort_5B/11_26_25/cam5-5B/rat2/2025-11-26_12_47_18_camcommerb5/Cohort_5B_cam5_rat2_2025-11-26_12_47_18.csv</t>
  </si>
  <si>
    <t>Cohort_5B_cam5_rat2_2025-11-26_12_47_18.csv</t>
  </si>
  <si>
    <t>Cohort_5B_cam5_rat2_2025-11-26_12_47_18</t>
  </si>
  <si>
    <t>/zfsgpu3/storage/lrn_project/josh_project/josh_lrn-gtk-2025-12-05/experimental_videos/11_26_25/Cohort_5B/11_26_25/cam5-5B/rat2/2025-11-26_12_46_50_camcommerb5/Cohort_5B_cam5_rat2_2025-11-26_12_46_50.csv</t>
  </si>
  <si>
    <t>11_26_25/Cohort_5B/11_26_25/cam5-5B/rat2/2025-11-26_12_46_50_camcommerb5/Cohort_5B_cam5_rat2_2025-11-26_12_46_50.csv</t>
  </si>
  <si>
    <t>Cohort_5B_cam5_rat2_2025-11-26_12_46_50.csv</t>
  </si>
  <si>
    <t>Cohort_5B_cam5_rat2_2025-11-26_12_46_50</t>
  </si>
  <si>
    <t>/zfsgpu3/storage/lrn_project/josh_project/josh_lrn-gtk-2025-12-05/experimental_videos/11_26_25/Cohort_5B/11_26_25/cam5-5B/rat2/2025-11-26_12_48_24_camcommerb5/Cohort_5B_cam5_rat2_2025-11-26_12_48_24.csv</t>
  </si>
  <si>
    <t>11_26_25/Cohort_5B/11_26_25/cam5-5B/rat2/2025-11-26_12_48_24_camcommerb5/Cohort_5B_cam5_rat2_2025-11-26_12_48_24.csv</t>
  </si>
  <si>
    <t>Cohort_5B_cam5_rat2_2025-11-26_12_48_24.csv</t>
  </si>
  <si>
    <t>Cohort_5B_cam5_rat2_2025-11-26_12_48_24</t>
  </si>
  <si>
    <t>/zfsgpu3/storage/lrn_project/josh_project/josh_lrn-gtk-2025-12-05/experimental_videos/11_26_25/Cohort_5B/11_26_25/cam5-5B/rat5/2025-11-26_13_17_59_camcommerb5/Cohort_5B_cam5_rat5_2025-11-26_13_17_59.csv</t>
  </si>
  <si>
    <t>11_26_25/Cohort_5B/11_26_25/cam5-5B/rat5/2025-11-26_13_17_59_camcommerb5/Cohort_5B_cam5_rat5_2025-11-26_13_17_59.csv</t>
  </si>
  <si>
    <t>Cohort_5B_cam5_rat5_2025-11-26_13_17_59.csv</t>
  </si>
  <si>
    <t>Cohort_5B_cam5_rat5_2025-11-26_13_17_59</t>
  </si>
  <si>
    <t>/zfsgpu3/storage/lrn_project/josh_project/josh_lrn-gtk-2025-12-05/experimental_videos/11_26_25/Cohort_5B/11_26_25/cam5-5B/rat5/2025-11-26_13_16_46_camcommerb5/Cohort_5B_cam5_rat5_2025-11-26_13_16_46.csv</t>
  </si>
  <si>
    <t>11_26_25/Cohort_5B/11_26_25/cam5-5B/rat5/2025-11-26_13_16_46_camcommerb5/Cohort_5B_cam5_rat5_2025-11-26_13_16_46.csv</t>
  </si>
  <si>
    <t>Cohort_5B_cam5_rat5_2025-11-26_13_16_46.csv</t>
  </si>
  <si>
    <t>Cohort_5B_cam5_rat5_2025-11-26_13_16_46</t>
  </si>
  <si>
    <t>/zfsgpu3/storage/lrn_project/josh_project/josh_lrn-gtk-2025-12-05/experimental_videos/11_26_25/Cohort_5B/11_26_25/cam5-5B/rat5/2025-11-26_13_16_13_camcommerb5/Cohort_5B_cam5_rat5_2025-11-26_13_16_13.csv</t>
  </si>
  <si>
    <t>11_26_25/Cohort_5B/11_26_25/cam5-5B/rat5/2025-11-26_13_16_13_camcommerb5/Cohort_5B_cam5_rat5_2025-11-26_13_16_13.csv</t>
  </si>
  <si>
    <t>Cohort_5B_cam5_rat5_2025-11-26_13_16_13.csv</t>
  </si>
  <si>
    <t>Cohort_5B_cam5_rat5_2025-11-26_13_16_13</t>
  </si>
  <si>
    <t>/zfsgpu3/storage/lrn_project/josh_project/josh_lrn-gtk-2025-12-05/experimental_videos/11_26_25/Cohort_5B/11_26_25/cam5-5B/rat3/2025-11-26_13_01_13_camcommerb5/Cohort_5B_cam5_rat3_2025-11-26_13_01_13.csv</t>
  </si>
  <si>
    <t>11_26_25/Cohort_5B/11_26_25/cam5-5B/rat3/2025-11-26_13_01_13_camcommerb5/Cohort_5B_cam5_rat3_2025-11-26_13_01_13.csv</t>
  </si>
  <si>
    <t>Cohort_5B_cam5_rat3_2025-11-26_13_01_13.csv</t>
  </si>
  <si>
    <t>Cohort_5B_cam5_rat3_2025-11-26_13_01_13</t>
  </si>
  <si>
    <t>/zfsgpu3/storage/lrn_project/josh_project/josh_lrn-gtk-2025-12-05/experimental_videos/11_26_25/Cohort_5B/11_26_25/cam5-5B/rat3/2025-11-26_12_59_09_camcommerb5/Cohort_5B_cam5_rat3_2025-11-26_12_59_09.csv</t>
  </si>
  <si>
    <t>11_26_25/Cohort_5B/11_26_25/cam5-5B/rat3/2025-11-26_12_59_09_camcommerb5/Cohort_5B_cam5_rat3_2025-11-26_12_59_09.csv</t>
  </si>
  <si>
    <t>Cohort_5B_cam5_rat3_2025-11-26_12_59_09.csv</t>
  </si>
  <si>
    <t>Cohort_5B_cam5_rat3_2025-11-26_12_59_09</t>
  </si>
  <si>
    <t>/zfsgpu3/storage/lrn_project/josh_project/josh_lrn-gtk-2025-12-05/experimental_videos/11_26_25/Cohort_5B/11_26_25/cam5-5B/rat2/2025-11-26_12_53_54_camcommerb5/Cohort_5B_cam5_rat2_2025-11-26_12_53_54.csv</t>
  </si>
  <si>
    <t>11_26_25/Cohort_5B/11_26_25/cam5-5B/rat2/2025-11-26_12_53_54_camcommerb5/Cohort_5B_cam5_rat2_2025-11-26_12_53_54.csv</t>
  </si>
  <si>
    <t>Cohort_5B_cam5_rat2_2025-11-26_12_53_54.csv</t>
  </si>
  <si>
    <t>Cohort_5B_cam5_rat2_2025-11-26_12_53_54</t>
  </si>
  <si>
    <t>/zfsgpu3/storage/lrn_project/josh_project/josh_lrn-gtk-2025-12-05/experimental_videos/11_26_25/Cohort_5B/11_26_25/cam5-5B/rat2/2025-11-26_12_53_11_camcommerb5/Cohort_5B_cam5_rat2_2025-11-26_12_53_11.csv</t>
  </si>
  <si>
    <t>11_26_25/Cohort_5B/11_26_25/cam5-5B/rat2/2025-11-26_12_53_11_camcommerb5/Cohort_5B_cam5_rat2_2025-11-26_12_53_11.csv</t>
  </si>
  <si>
    <t>Cohort_5B_cam5_rat2_2025-11-26_12_53_11.csv</t>
  </si>
  <si>
    <t>Cohort_5B_cam5_rat2_2025-11-26_12_53_11</t>
  </si>
  <si>
    <t>/zfsgpu3/storage/lrn_project/josh_project/josh_lrn-gtk-2025-12-05/experimental_videos/11_26_25/Cohort_5B/11_26_25/cam5-5B/rat2/2025-11-26_12_52_43_camcommerb5/Cohort_5B_cam5_rat2_2025-11-26_12_52_43.csv</t>
  </si>
  <si>
    <t>11_26_25/Cohort_5B/11_26_25/cam5-5B/rat2/2025-11-26_12_52_43_camcommerb5/Cohort_5B_cam5_rat2_2025-11-26_12_52_43.csv</t>
  </si>
  <si>
    <t>Cohort_5B_cam5_rat2_2025-11-26_12_52_43.csv</t>
  </si>
  <si>
    <t>Cohort_5B_cam5_rat2_2025-11-26_12_52_43</t>
  </si>
  <si>
    <t>/zfsgpu3/storage/lrn_project/josh_project/josh_lrn-gtk-2025-12-05/experimental_videos/11_26_25/Cohort_5B/11_26_25/cam5-5B/rat2/2025-11-26_12_52_30_camcommerb5/Cohort_5B_cam5_rat2_2025-11-26_12_52_30.csv</t>
  </si>
  <si>
    <t>11_26_25/Cohort_5B/11_26_25/cam5-5B/rat2/2025-11-26_12_52_30_camcommerb5/Cohort_5B_cam5_rat2_2025-11-26_12_52_30.csv</t>
  </si>
  <si>
    <t>Cohort_5B_cam5_rat2_2025-11-26_12_52_30.csv</t>
  </si>
  <si>
    <t>Cohort_5B_cam5_rat2_2025-11-26_12_52_30</t>
  </si>
  <si>
    <t>/zfsgpu3/storage/lrn_project/josh_project/josh_lrn-gtk-2025-12-05/experimental_videos/11_26_25/Cohort_5B/11_26_25/cam5-5B/rat2/2025-11-26_12_51_39_camcommerb5/Cohort_5B_cam5_rat2_2025-11-26_12_51_39.csv</t>
  </si>
  <si>
    <t>11_26_25/Cohort_5B/11_26_25/cam5-5B/rat2/2025-11-26_12_51_39_camcommerb5/Cohort_5B_cam5_rat2_2025-11-26_12_51_39.csv</t>
  </si>
  <si>
    <t>Cohort_5B_cam5_rat2_2025-11-26_12_51_39.csv</t>
  </si>
  <si>
    <t>Cohort_5B_cam5_rat2_2025-11-26_12_51_39</t>
  </si>
  <si>
    <t>/zfsgpu3/storage/lrn_project/josh_project/josh_lrn-gtk-2025-12-05/experimental_videos/11_26_25/Cohort_5B/11_26_25/cam5-5B/rat2/2025-11-26_12_51_22_camcommerb5/Cohort_5B_cam5_rat2_2025-11-26_12_51_22.csv</t>
  </si>
  <si>
    <t>11_26_25/Cohort_5B/11_26_25/cam5-5B/rat2/2025-11-26_12_51_22_camcommerb5/Cohort_5B_cam5_rat2_2025-11-26_12_51_22.csv</t>
  </si>
  <si>
    <t>Cohort_5B_cam5_rat2_2025-11-26_12_51_22.csv</t>
  </si>
  <si>
    <t>Cohort_5B_cam5_rat2_2025-11-26_12_51_22</t>
  </si>
  <si>
    <t>/zfsgpu3/storage/lrn_project/josh_project/josh_lrn-gtk-2025-12-05/experimental_videos/11_26_25/Cohort_5B/11_26_25/cam5-5B/rat2/2025-11-26_12_51_03_camcommerb5/Cohort_5B_cam5_rat2_2025-11-26_12_51_03.csv</t>
  </si>
  <si>
    <t>11_26_25/Cohort_5B/11_26_25/cam5-5B/rat2/2025-11-26_12_51_03_camcommerb5/Cohort_5B_cam5_rat2_2025-11-26_12_51_03.csv</t>
  </si>
  <si>
    <t>Cohort_5B_cam5_rat2_2025-11-26_12_51_03.csv</t>
  </si>
  <si>
    <t>Cohort_5B_cam5_rat2_2025-11-26_12_51_03</t>
  </si>
  <si>
    <t>/zfsgpu3/storage/lrn_project/josh_project/josh_lrn-gtk-2025-12-05/experimental_videos/11_26_25/Cohort_5B/11_26_25/cam5-5B/rat2/2025-11-26_12_50_32_camcommerb5/Cohort_5B_cam5_rat2_2025-11-26_12_50_32.csv</t>
  </si>
  <si>
    <t>11_26_25/Cohort_5B/11_26_25/cam5-5B/rat2/2025-11-26_12_50_32_camcommerb5/Cohort_5B_cam5_rat2_2025-11-26_12_50_32.csv</t>
  </si>
  <si>
    <t>Cohort_5B_cam5_rat2_2025-11-26_12_50_32.csv</t>
  </si>
  <si>
    <t>Cohort_5B_cam5_rat2_2025-11-26_12_50_32</t>
  </si>
  <si>
    <t>/zfsgpu3/storage/lrn_project/josh_project/josh_lrn-gtk-2025-12-05/experimental_videos/11_26_25/Cohort_5B/11_26_25/cam5-5B/rat2/2025-11-26_12_50_19_camcommerb5/Cohort_5B_cam5_rat2_2025-11-26_12_50_19.csv</t>
  </si>
  <si>
    <t>11_26_25/Cohort_5B/11_26_25/cam5-5B/rat2/2025-11-26_12_50_19_camcommerb5/Cohort_5B_cam5_rat2_2025-11-26_12_50_19.csv</t>
  </si>
  <si>
    <t>Cohort_5B_cam5_rat2_2025-11-26_12_50_19.csv</t>
  </si>
  <si>
    <t>Cohort_5B_cam5_rat2_2025-11-26_12_50_19</t>
  </si>
  <si>
    <t>/zfsgpu3/storage/lrn_project/josh_project/josh_lrn-gtk-2025-12-05/experimental_videos/11_26_25/Cohort_5B/11_26_25/cam5-5B/rat2/2025-11-26_12_49_59_camcommerb5/Cohort_5B_cam5_rat2_2025-11-26_12_49_59.csv</t>
  </si>
  <si>
    <t>11_26_25/Cohort_5B/11_26_25/cam5-5B/rat2/2025-11-26_12_49_59_camcommerb5/Cohort_5B_cam5_rat2_2025-11-26_12_49_59.csv</t>
  </si>
  <si>
    <t>Cohort_5B_cam5_rat2_2025-11-26_12_49_59.csv</t>
  </si>
  <si>
    <t>Cohort_5B_cam5_rat2_2025-11-26_12_49_59</t>
  </si>
  <si>
    <t>/zfsgpu3/storage/lrn_project/josh_project/josh_lrn-gtk-2025-12-05/experimental_videos/11_26_25/Cohort_5B/11_26_25/cam5-5B/rat2/2025-11-26_12_49_47_camcommerb5/Cohort_5B_cam5_rat2_2025-11-26_12_49_47.csv</t>
  </si>
  <si>
    <t>11_26_25/Cohort_5B/11_26_25/cam5-5B/rat2/2025-11-26_12_49_47_camcommerb5/Cohort_5B_cam5_rat2_2025-11-26_12_49_47.csv</t>
  </si>
  <si>
    <t>Cohort_5B_cam5_rat2_2025-11-26_12_49_47.csv</t>
  </si>
  <si>
    <t>Cohort_5B_cam5_rat2_2025-11-26_12_49_47</t>
  </si>
  <si>
    <t>/zfsgpu3/storage/lrn_project/josh_project/josh_lrn-gtk-2025-12-05/experimental_videos/11_26_25/Cohort_5B/11_26_25/cam5-5B/rat2/2025-11-26_12_49_38_camcommerb5/Cohort_5B_cam5_rat2_2025-11-26_12_49_38.csv</t>
  </si>
  <si>
    <t>11_26_25/Cohort_5B/11_26_25/cam5-5B/rat2/2025-11-26_12_49_38_camcommerb5/Cohort_5B_cam5_rat2_2025-11-26_12_49_38.csv</t>
  </si>
  <si>
    <t>Cohort_5B_cam5_rat2_2025-11-26_12_49_38.csv</t>
  </si>
  <si>
    <t>Cohort_5B_cam5_rat2_2025-11-26_12_49_38</t>
  </si>
  <si>
    <t>/zfsgpu3/storage/lrn_project/josh_project/josh_lrn-gtk-2025-12-05/experimental_videos/11_26_25/Cohort_5B/11_26_25/cam5-5B/rat5/2025-11-26_13_19_22_camcommerb5/Cohort_5B_cam5_rat5_2025-11-26_13_19_22.csv</t>
  </si>
  <si>
    <t>11_26_25/Cohort_5B/11_26_25/cam5-5B/rat5/2025-11-26_13_19_22_camcommerb5/Cohort_5B_cam5_rat5_2025-11-26_13_19_22.csv</t>
  </si>
  <si>
    <t>Cohort_5B_cam5_rat5_2025-11-26_13_19_22.csv</t>
  </si>
  <si>
    <t>Cohort_5B_cam5_rat5_2025-11-26_13_19_22</t>
  </si>
  <si>
    <t>/zfsgpu3/storage/lrn_project/josh_project/josh_lrn-gtk-2025-12-05/experimental_videos/11_26_25/Cohort_5A/cam5/11_26_25/rat5/2025-11-26_12_12_27_camcommerb5/Cohort_5A_cam5_rat5_2025-11-26_12_12_27.csv</t>
  </si>
  <si>
    <t>11_26_25/Cohort_5A/cam5/11_26_25/rat5/2025-11-26_12_12_27_camcommerb5/Cohort_5A_cam5_rat5_2025-11-26_12_12_27.csv</t>
  </si>
  <si>
    <t>Cohort_5A_cam5_rat5_2025-11-26_12_12_27.csv</t>
  </si>
  <si>
    <t>Cohort_5A_cam5_rat5_2025-11-26_12_12_27</t>
  </si>
  <si>
    <t>/zfsgpu3/storage/lrn_project/josh_project/josh_lrn-gtk-2025-12-05/experimental_videos/01_16_26/cam5/5A-5/2026-01-16_15_47_38_camcommerb5/postablate_cam5_5A-5_2026-01-16_15_47_38_camcommerb5.csv</t>
  </si>
  <si>
    <t>01_16_26/cam5/5A-5/2026-01-16_15_47_38_camcommerb5/postablate_cam5_5A-5_2026-01-16_15_47_38_camcommerb5.csv</t>
  </si>
  <si>
    <t>postablate_cam5_5A-5_2026-01-16_15_47_38_camcommerb5.csv</t>
  </si>
  <si>
    <t>postablate_cam5_5A-5_2026-01-16_15_47_38_camcommerb5</t>
  </si>
  <si>
    <t>/zfsgpu3/storage/lrn_project/josh_project/josh_lrn-gtk-2025-12-05/experimental_videos/01_16_26/cam5/5A-5/2026-01-16_15_47_49_camcommerb5/postablate_cam5_5A-5_2026-01-16_15_47_49_camcommerb5.csv</t>
  </si>
  <si>
    <t>01_16_26/cam5/5A-5/2026-01-16_15_47_49_camcommerb5/postablate_cam5_5A-5_2026-01-16_15_47_49_camcommerb5.csv</t>
  </si>
  <si>
    <t>postablate_cam5_5A-5_2026-01-16_15_47_49_camcommerb5.csv</t>
  </si>
  <si>
    <t>postablate_cam5_5A-5_2026-01-16_15_47_49_camcommerb5</t>
  </si>
  <si>
    <t>/zfsgpu3/storage/lrn_project/josh_project/josh_lrn-gtk-2025-12-05/experimental_videos/01_16_26/cam5/5A-5/2026-01-16_15_48_19_camcommerb5/postablate_cam5_5A-5_2026-01-16_15_48_19_camcommerb5.csv</t>
  </si>
  <si>
    <t>01_16_26/cam5/5A-5/2026-01-16_15_48_19_camcommerb5/postablate_cam5_5A-5_2026-01-16_15_48_19_camcommerb5.csv</t>
  </si>
  <si>
    <t>postablate_cam5_5A-5_2026-01-16_15_48_19_camcommerb5.csv</t>
  </si>
  <si>
    <t>postablate_cam5_5A-5_2026-01-16_15_48_19_camcommerb5</t>
  </si>
  <si>
    <t>/zfsgpu3/storage/lrn_project/josh_project/josh_lrn-gtk-2025-12-05/experimental_videos/01_16_26/cam5/5A-5/2026-01-16_15_48_30_camcommerb5/postablate_cam5_5A-5_2026-01-16_15_48_30_camcommerb5.csv</t>
  </si>
  <si>
    <t>01_16_26/cam5/5A-5/2026-01-16_15_48_30_camcommerb5/postablate_cam5_5A-5_2026-01-16_15_48_30_camcommerb5.csv</t>
  </si>
  <si>
    <t>postablate_cam5_5A-5_2026-01-16_15_48_30_camcommerb5.csv</t>
  </si>
  <si>
    <t>postablate_cam5_5A-5_2026-01-16_15_48_30_camcommerb5</t>
  </si>
  <si>
    <t>/zfsgpu3/storage/lrn_project/josh_project/josh_lrn-gtk-2025-12-05/experimental_videos/01_16_26/cam5/5A-5/2026-01-16_15_49_09_camcommerb5/postablate_cam5_5A-5_2026-01-16_15_49_09_camcommerb5.csv</t>
  </si>
  <si>
    <t>01_16_26/cam5/5A-5/2026-01-16_15_49_09_camcommerb5/postablate_cam5_5A-5_2026-01-16_15_49_09_camcommerb5.csv</t>
  </si>
  <si>
    <t>postablate_cam5_5A-5_2026-01-16_15_49_09_camcommerb5.csv</t>
  </si>
  <si>
    <t>postablate_cam5_5A-5_2026-01-16_15_49_09_camcommerb5</t>
  </si>
  <si>
    <t>/zfsgpu3/storage/lrn_project/josh_project/josh_lrn-gtk-2025-12-05/experimental_videos/01_16_26/cam5/5A-5/2026-01-16_15_49_57_camcommerb5/postablate_cam5_5A-5_2026-01-16_15_49_57_camcommerb5.csv</t>
  </si>
  <si>
    <t>01_16_26/cam5/5A-5/2026-01-16_15_49_57_camcommerb5/postablate_cam5_5A-5_2026-01-16_15_49_57_camcommerb5.csv</t>
  </si>
  <si>
    <t>postablate_cam5_5A-5_2026-01-16_15_49_57_camcommerb5.csv</t>
  </si>
  <si>
    <t>postablate_cam5_5A-5_2026-01-16_15_49_57_camcommerb5</t>
  </si>
  <si>
    <t>/zfsgpu3/storage/lrn_project/josh_project/josh_lrn-gtk-2025-12-05/experimental_videos/01_16_26/cam5/5A-5/2026-01-16_15_50_44_camcommerb5/postablate_cam5_5A-5_2026-01-16_15_50_44_camcommerb5.csv</t>
  </si>
  <si>
    <t>01_16_26/cam5/5A-5/2026-01-16_15_50_44_camcommerb5/postablate_cam5_5A-5_2026-01-16_15_50_44_camcommerb5.csv</t>
  </si>
  <si>
    <t>postablate_cam5_5A-5_2026-01-16_15_50_44_camcommerb5.csv</t>
  </si>
  <si>
    <t>postablate_cam5_5A-5_2026-01-16_15_50_44_camcommerb5</t>
  </si>
  <si>
    <t>/zfsgpu3/storage/lrn_project/josh_project/josh_lrn-gtk-2025-12-05/experimental_videos/01_16_26/cam5/5A-5/2026-01-16_15_51_08_camcommerb5/postablate_cam5_5A-5_2026-01-16_15_51_08_camcommerb5.csv</t>
  </si>
  <si>
    <t>01_16_26/cam5/5A-5/2026-01-16_15_51_08_camcommerb5/postablate_cam5_5A-5_2026-01-16_15_51_08_camcommerb5.csv</t>
  </si>
  <si>
    <t>postablate_cam5_5A-5_2026-01-16_15_51_08_camcommerb5.csv</t>
  </si>
  <si>
    <t>postablate_cam5_5A-5_2026-01-16_15_51_08_camcommerb5</t>
  </si>
  <si>
    <t>/zfsgpu3/storage/lrn_project/josh_project/josh_lrn-gtk-2025-12-05/experimental_videos/01_16_26/cam5/5B-2/2026-01-16_15_57_30_camcommerb5/postablate_cam5_5B-2_2026-01-16_15_57_30_camcommerb5.csv</t>
  </si>
  <si>
    <t>01_16_26/cam5/5B-2/2026-01-16_15_57_30_camcommerb5/postablate_cam5_5B-2_2026-01-16_15_57_30_camcommerb5.csv</t>
  </si>
  <si>
    <t>postablate_cam5_5B-2_2026-01-16_15_57_30_camcommerb5.csv</t>
  </si>
  <si>
    <t>postablate_cam5_5B-2_2026-01-16_15_57_30_camcommerb5</t>
  </si>
  <si>
    <t>/zfsgpu3/storage/lrn_project/josh_project/josh_lrn-gtk-2025-12-05/experimental_videos/01_16_26/cam5/5A-5/2026-01-16_15_47_16_camcommerb5/postablate_cam5_5A-5_2026-01-16_15_47_16_camcommerb5.csv</t>
  </si>
  <si>
    <t>01_16_26/cam5/5A-5/2026-01-16_15_47_16_camcommerb5/postablate_cam5_5A-5_2026-01-16_15_47_16_camcommerb5.csv</t>
  </si>
  <si>
    <t>postablate_cam5_5A-5_2026-01-16_15_47_16_camcommerb5.csv</t>
  </si>
  <si>
    <t>postablate_cam5_5A-5_2026-01-16_15_47_16_camcommerb5</t>
  </si>
  <si>
    <t>/zfsgpu3/storage/lrn_project/josh_project/josh_lrn-gtk-2025-12-05/experimental_videos/01_16_26/cam5/5B-2/2026-01-16_15_57_46_camcommerb5/postablate_cam5_5B-2_2026-01-16_15_57_46_camcommerb5.csv</t>
  </si>
  <si>
    <t>01_16_26/cam5/5B-2/2026-01-16_15_57_46_camcommerb5/postablate_cam5_5B-2_2026-01-16_15_57_46_camcommerb5.csv</t>
  </si>
  <si>
    <t>postablate_cam5_5B-2_2026-01-16_15_57_46_camcommerb5.csv</t>
  </si>
  <si>
    <t>postablate_cam5_5B-2_2026-01-16_15_57_46_camcommerb5</t>
  </si>
  <si>
    <t>/zfsgpu3/storage/lrn_project/josh_project/josh_lrn-gtk-2025-12-05/experimental_videos/01_16_26/cam5/5B-2/2026-01-16_15_58_09_camcommerb5/postablate_cam5_5B-2_2026-01-16_15_58_09_camcommerb5.csv</t>
  </si>
  <si>
    <t>01_16_26/cam5/5B-2/2026-01-16_15_58_09_camcommerb5/postablate_cam5_5B-2_2026-01-16_15_58_09_camcommerb5.csv</t>
  </si>
  <si>
    <t>postablate_cam5_5B-2_2026-01-16_15_58_09_camcommerb5.csv</t>
  </si>
  <si>
    <t>postablate_cam5_5B-2_2026-01-16_15_58_09_camcommerb5</t>
  </si>
  <si>
    <t>/zfsgpu3/storage/lrn_project/josh_project/josh_lrn-gtk-2025-12-05/experimental_videos/01_16_26/cam5/5B-2/2026-01-16_15_58_27_camcommerb5/postablate_cam5_5B-2_2026-01-16_15_58_27_camcommerb5.csv</t>
  </si>
  <si>
    <t>01_16_26/cam5/5B-2/2026-01-16_15_58_27_camcommerb5/postablate_cam5_5B-2_2026-01-16_15_58_27_camcommerb5.csv</t>
  </si>
  <si>
    <t>postablate_cam5_5B-2_2026-01-16_15_58_27_camcommerb5.csv</t>
  </si>
  <si>
    <t>postablate_cam5_5B-2_2026-01-16_15_58_27_camcommerb5</t>
  </si>
  <si>
    <t>/zfsgpu3/storage/lrn_project/josh_project/josh_lrn-gtk-2025-12-05/experimental_videos/01_16_26/cam5/5B-2/2026-01-16_15_58_40_camcommerb5/postablate_cam5_5B-2_2026-01-16_15_58_40_camcommerb5.csv</t>
  </si>
  <si>
    <t>01_16_26/cam5/5B-2/2026-01-16_15_58_40_camcommerb5/postablate_cam5_5B-2_2026-01-16_15_58_40_camcommerb5.csv</t>
  </si>
  <si>
    <t>postablate_cam5_5B-2_2026-01-16_15_58_40_camcommerb5.csv</t>
  </si>
  <si>
    <t>postablate_cam5_5B-2_2026-01-16_15_58_40_camcommerb5</t>
  </si>
  <si>
    <t>/zfsgpu3/storage/lrn_project/josh_project/josh_lrn-gtk-2025-12-05/experimental_videos/01_16_26/cam5/5B-2/2026-01-16_15_58_51_camcommerb5/postablate_cam5_5B-2_2026-01-16_15_58_51_camcommerb5.csv</t>
  </si>
  <si>
    <t>01_16_26/cam5/5B-2/2026-01-16_15_58_51_camcommerb5/postablate_cam5_5B-2_2026-01-16_15_58_51_camcommerb5.csv</t>
  </si>
  <si>
    <t>postablate_cam5_5B-2_2026-01-16_15_58_51_camcommerb5.csv</t>
  </si>
  <si>
    <t>postablate_cam5_5B-2_2026-01-16_15_58_51_camcommerb5</t>
  </si>
  <si>
    <t>/zfsgpu3/storage/lrn_project/josh_project/josh_lrn-gtk-2025-12-05/experimental_videos/01_16_26/cam5/5B-2/2026-01-16_15_59_19_camcommerb5/postablate_cam5_5B-2_2026-01-16_15_59_19_camcommerb5.csv</t>
  </si>
  <si>
    <t>01_16_26/cam5/5B-2/2026-01-16_15_59_19_camcommerb5/postablate_cam5_5B-2_2026-01-16_15_59_19_camcommerb5.csv</t>
  </si>
  <si>
    <t>postablate_cam5_5B-2_2026-01-16_15_59_19_camcommerb5.csv</t>
  </si>
  <si>
    <t>postablate_cam5_5B-2_2026-01-16_15_59_19_camcommerb5</t>
  </si>
  <si>
    <t>/zfsgpu3/storage/lrn_project/josh_project/josh_lrn-gtk-2025-12-05/experimental_videos/01_16_26/cam5/5B-2/2026-01-16_15_59_34_camcommerb5/postablate_cam5_5B-2_2026-01-16_15_59_34_camcommerb5.csv</t>
  </si>
  <si>
    <t>01_16_26/cam5/5B-2/2026-01-16_15_59_34_camcommerb5/postablate_cam5_5B-2_2026-01-16_15_59_34_camcommerb5.csv</t>
  </si>
  <si>
    <t>postablate_cam5_5B-2_2026-01-16_15_59_34_camcommerb5.csv</t>
  </si>
  <si>
    <t>postablate_cam5_5B-2_2026-01-16_15_59_34_camcommerb5</t>
  </si>
  <si>
    <t>/zfsgpu3/storage/lrn_project/josh_project/josh_lrn-gtk-2025-12-05/experimental_videos/01_16_26/cam5/5B-2/2026-01-16_16_00_29_camcommerb5/postablate_cam5_5B-2_2026-01-16_16_00_29_camcommerb5.csv</t>
  </si>
  <si>
    <t>01_16_26/cam5/5B-2/2026-01-16_16_00_29_camcommerb5/postablate_cam5_5B-2_2026-01-16_16_00_29_camcommerb5.csv</t>
  </si>
  <si>
    <t>postablate_cam5_5B-2_2026-01-16_16_00_29_camcommerb5.csv</t>
  </si>
  <si>
    <t>postablate_cam5_5B-2_2026-01-16_16_00_29_camcommerb5</t>
  </si>
  <si>
    <t>/zfsgpu3/storage/lrn_project/josh_project/josh_lrn-gtk-2025-12-05/experimental_videos/01_16_26/cam5/5B-2/2026-01-16_16_01_00_camcommerb5/postablate_cam5_5B-2_2026-01-16_16_01_00_camcommerb5.csv</t>
  </si>
  <si>
    <t>01_16_26/cam5/5B-2/2026-01-16_16_01_00_camcommerb5/postablate_cam5_5B-2_2026-01-16_16_01_00_camcommerb5.csv</t>
  </si>
  <si>
    <t>postablate_cam5_5B-2_2026-01-16_16_01_00_camcommerb5.csv</t>
  </si>
  <si>
    <t>postablate_cam5_5B-2_2026-01-16_16_01_00_camcommerb5</t>
  </si>
  <si>
    <t>/zfsgpu3/storage/lrn_project/josh_project/josh_lrn-gtk-2025-12-05/experimental_videos/01_16_26/cam5/5B-2/2026-01-16_16_01_14_camcommerb5/postablate_cam5_5B-2_2026-01-16_16_01_14_camcommerb5.csv</t>
  </si>
  <si>
    <t>01_16_26/cam5/5B-2/2026-01-16_16_01_14_camcommerb5/postablate_cam5_5B-2_2026-01-16_16_01_14_camcommerb5.csv</t>
  </si>
  <si>
    <t>postablate_cam5_5B-2_2026-01-16_16_01_14_camcommerb5.csv</t>
  </si>
  <si>
    <t>postablate_cam5_5B-2_2026-01-16_16_01_14_camcommerb5</t>
  </si>
  <si>
    <t>/zfsgpu3/storage/lrn_project/josh_project/josh_lrn-gtk-2025-12-05/experimental_videos/01_16_26/cam5/5B-2/2026-01-16_16_01_23_camcommerb5/postablate_cam5_5B-2_2026-01-16_16_01_23_camcommerb5.csv</t>
  </si>
  <si>
    <t>01_16_26/cam5/5B-2/2026-01-16_16_01_23_camcommerb5/postablate_cam5_5B-2_2026-01-16_16_01_23_camcommerb5.csv</t>
  </si>
  <si>
    <t>postablate_cam5_5B-2_2026-01-16_16_01_23_camcommerb5.csv</t>
  </si>
  <si>
    <t>postablate_cam5_5B-2_2026-01-16_16_01_23_camcommerb5</t>
  </si>
  <si>
    <t>/zfsgpu3/storage/lrn_project/josh_project/josh_lrn-gtk-2025-12-05/experimental_videos/01_16_26/cam5/5B-2/2026-01-16_16_01_36_camcommerb5/postablate_cam5_5B-2_2026-01-16_16_01_36_camcommerb5.csv</t>
  </si>
  <si>
    <t>01_16_26/cam5/5B-2/2026-01-16_16_01_36_camcommerb5/postablate_cam5_5B-2_2026-01-16_16_01_36_camcommerb5.csv</t>
  </si>
  <si>
    <t>postablate_cam5_5B-2_2026-01-16_16_01_36_camcommerb5.csv</t>
  </si>
  <si>
    <t>postablate_cam5_5B-2_2026-01-16_16_01_36_camcommerb5</t>
  </si>
  <si>
    <t>/zfsgpu3/storage/lrn_project/josh_project/josh_lrn-gtk-2025-12-05/experimental_videos/01_16_26/cam5/5B-2/2026-01-16_15_57_57_camcommerb5/postablate_cam5_5B-2_2026-01-16_15_57_57_camcommerb5.csv</t>
  </si>
  <si>
    <t>01_16_26/cam5/5B-2/2026-01-16_15_57_57_camcommerb5/postablate_cam5_5B-2_2026-01-16_15_57_57_camcommerb5.csv</t>
  </si>
  <si>
    <t>postablate_cam5_5B-2_2026-01-16_15_57_57_camcommerb5.csv</t>
  </si>
  <si>
    <t>postablate_cam5_5B-2_2026-01-16_15_57_57_camcommerb5</t>
  </si>
  <si>
    <t>/zfsgpu3/storage/lrn_project/josh_project/josh_lrn-gtk-2025-12-05/experimental_videos/01_16_26/cam5/5A-5/2026-01-16_15_46_38_camcommerb5/postablate_cam5_5A-5_2026-01-16_15_46_38_camcommerb5.csv</t>
  </si>
  <si>
    <t>01_16_26/cam5/5A-5/2026-01-16_15_46_38_camcommerb5/postablate_cam5_5A-5_2026-01-16_15_46_38_camcommerb5.csv</t>
  </si>
  <si>
    <t>postablate_cam5_5A-5_2026-01-16_15_46_38_camcommerb5.csv</t>
  </si>
  <si>
    <t>postablate_cam5_5A-5_2026-01-16_15_46_38_camcommerb5</t>
  </si>
  <si>
    <t>/zfsgpu3/storage/lrn_project/josh_project/josh_lrn-gtk-2025-12-05/experimental_videos/01_16_26/cam5/5A-3/2026-01-16_15_24_01_camcommerb5/postablate_cam5_5A-3_2026-01-16_15_24_01_camcommerb5.csv</t>
  </si>
  <si>
    <t>01_16_26/cam5/5A-3/2026-01-16_15_24_01_camcommerb5/postablate_cam5_5A-3_2026-01-16_15_24_01_camcommerb5.csv</t>
  </si>
  <si>
    <t>postablate_cam5_5A-3_2026-01-16_15_24_01_camcommerb5.csv</t>
  </si>
  <si>
    <t>postablate_cam5_5A-3_2026-01-16_15_24_01_camcommerb5</t>
  </si>
  <si>
    <t>/zfsgpu3/storage/lrn_project/josh_project/josh_lrn-gtk-2025-12-05/experimental_videos/01_16_26/cam5/5A-3/2026-01-16_15_24_22_camcommerb5/postablate_cam5_5A-3_2026-01-16_15_24_22_camcommerb5.csv</t>
  </si>
  <si>
    <t>01_16_26/cam5/5A-3/2026-01-16_15_24_22_camcommerb5/postablate_cam5_5A-3_2026-01-16_15_24_22_camcommerb5.csv</t>
  </si>
  <si>
    <t>postablate_cam5_5A-3_2026-01-16_15_24_22_camcommerb5.csv</t>
  </si>
  <si>
    <t>postablate_cam5_5A-3_2026-01-16_15_24_22_camcommerb5</t>
  </si>
  <si>
    <t>/zfsgpu3/storage/lrn_project/josh_project/josh_lrn-gtk-2025-12-05/experimental_videos/01_16_26/cam5/5A-3/2026-01-16_15_26_15_camcommerb5/postablate_cam5_5A-3_2026-01-16_15_26_15_camcommerb5.csv</t>
  </si>
  <si>
    <t>01_16_26/cam5/5A-3/2026-01-16_15_26_15_camcommerb5/postablate_cam5_5A-3_2026-01-16_15_26_15_camcommerb5.csv</t>
  </si>
  <si>
    <t>postablate_cam5_5A-3_2026-01-16_15_26_15_camcommerb5.csv</t>
  </si>
  <si>
    <t>postablate_cam5_5A-3_2026-01-16_15_26_15_camcommerb5</t>
  </si>
  <si>
    <t>/zfsgpu3/storage/lrn_project/josh_project/josh_lrn-gtk-2025-12-05/experimental_videos/01_16_26/cam5/5A-3/2026-01-16_15_28_29_camcommerb5/postablate_cam5_5A-3_2026-01-16_15_28_29_camcommerb5.csv</t>
  </si>
  <si>
    <t>01_16_26/cam5/5A-3/2026-01-16_15_28_29_camcommerb5/postablate_cam5_5A-3_2026-01-16_15_28_29_camcommerb5.csv</t>
  </si>
  <si>
    <t>postablate_cam5_5A-3_2026-01-16_15_28_29_camcommerb5.csv</t>
  </si>
  <si>
    <t>postablate_cam5_5A-3_2026-01-16_15_28_29_camcommerb5</t>
  </si>
  <si>
    <t>/zfsgpu3/storage/lrn_project/josh_project/josh_lrn-gtk-2025-12-05/experimental_videos/01_16_26/cam5/5A-3/2026-01-16_15_29_46_camcommerb5/postablate_cam5_5A-3_2026-01-16_15_29_46_camcommerb5.csv</t>
  </si>
  <si>
    <t>01_16_26/cam5/5A-3/2026-01-16_15_29_46_camcommerb5/postablate_cam5_5A-3_2026-01-16_15_29_46_camcommerb5.csv</t>
  </si>
  <si>
    <t>postablate_cam5_5A-3_2026-01-16_15_29_46_camcommerb5.csv</t>
  </si>
  <si>
    <t>postablate_cam5_5A-3_2026-01-16_15_29_46_camcommerb5</t>
  </si>
  <si>
    <t>/zfsgpu3/storage/lrn_project/josh_project/josh_lrn-gtk-2025-12-05/experimental_videos/01_16_26/cam5/5A-3/2026-01-16_15_30_06_camcommerb5/postablate_cam5_5A-3_2026-01-16_15_30_06_camcommerb5.csv</t>
  </si>
  <si>
    <t>01_16_26/cam5/5A-3/2026-01-16_15_30_06_camcommerb5/postablate_cam5_5A-3_2026-01-16_15_30_06_camcommerb5.csv</t>
  </si>
  <si>
    <t>postablate_cam5_5A-3_2026-01-16_15_30_06_camcommerb5.csv</t>
  </si>
  <si>
    <t>postablate_cam5_5A-3_2026-01-16_15_30_06_camcommerb5</t>
  </si>
  <si>
    <t>/zfsgpu3/storage/lrn_project/josh_project/josh_lrn-gtk-2025-12-05/experimental_videos/01_16_26/cam5/5A-4/2026-01-16_15_40_06_camcommerb5/postablate_cam5_5A-4_2026-01-16_15_40_06_camcommerb5.csv</t>
  </si>
  <si>
    <t>01_16_26/cam5/5A-4/2026-01-16_15_40_06_camcommerb5/postablate_cam5_5A-4_2026-01-16_15_40_06_camcommerb5.csv</t>
  </si>
  <si>
    <t>postablate_cam5_5A-4_2026-01-16_15_40_06_camcommerb5.csv</t>
  </si>
  <si>
    <t>postablate_cam5_5A-4_2026-01-16_15_40_06_camcommerb5</t>
  </si>
  <si>
    <t>/zfsgpu3/storage/lrn_project/josh_project/josh_lrn-gtk-2025-12-05/experimental_videos/11_26_25/Cohort_5A/cam5/11_26_25/rat5/2025-11-26_12_12_19_camcommerb5/Cohort_5A_cam5_rat5_2025-11-26_12_12_19.csv</t>
  </si>
  <si>
    <t>11_26_25/Cohort_5A/cam5/11_26_25/rat5/2025-11-26_12_12_19_camcommerb5/Cohort_5A_cam5_rat5_2025-11-26_12_12_19.csv</t>
  </si>
  <si>
    <t>Cohort_5A_cam5_rat5_2025-11-26_12_12_19.csv</t>
  </si>
  <si>
    <t>Cohort_5A_cam5_rat5_2025-11-26_12_12_19</t>
  </si>
  <si>
    <t>/zfsgpu3/storage/lrn_project/josh_project/josh_lrn-gtk-2025-12-05/experimental_videos/11_26_25/Cohort_5A/cam5/11_26_25/rat4/2025-11-26_12_00_11_camcommerb5/Cohort_5A_cam5_rat4_2025-11-26_12_00_11.csv</t>
  </si>
  <si>
    <t>11_26_25/Cohort_5A/cam5/11_26_25/rat4/2025-11-26_12_00_11_camcommerb5/Cohort_5A_cam5_rat4_2025-11-26_12_00_11.csv</t>
  </si>
  <si>
    <t>Cohort_5A_cam5_rat4_2025-11-26_12_00_11.csv</t>
  </si>
  <si>
    <t>Cohort_5A_cam5_rat4_2025-11-26_12_00_11</t>
  </si>
  <si>
    <t>/zfsgpu3/storage/lrn_project/josh_project/josh_lrn-gtk-2025-12-05/experimental_videos/11_26_25/Cohort_5A/cam5/11_26_25/rat5/2025-11-26_12_11_34_camcommerb5/Cohort_5A_cam5_rat5_2025-11-26_12_11_34.csv</t>
  </si>
  <si>
    <t>11_26_25/Cohort_5A/cam5/11_26_25/rat5/2025-11-26_12_11_34_camcommerb5/Cohort_5A_cam5_rat5_2025-11-26_12_11_34.csv</t>
  </si>
  <si>
    <t>Cohort_5A_cam5_rat5_2025-11-26_12_11_34.csv</t>
  </si>
  <si>
    <t>Cohort_5A_cam5_rat5_2025-11-26_12_11_34</t>
  </si>
  <si>
    <t>/zfsgpu3/storage/lrn_project/josh_project/josh_lrn-gtk-2025-12-05/experimental_videos/11_26_25/Cohort_5A/cam5/11_26_25/rat5/2025-11-26_12_11_55_camcommerb5/Cohort_5A_cam5_rat5_2025-11-26_12_11_55.csv</t>
  </si>
  <si>
    <t>11_26_25/Cohort_5A/cam5/11_26_25/rat5/2025-11-26_12_11_55_camcommerb5/Cohort_5A_cam5_rat5_2025-11-26_12_11_55.csv</t>
  </si>
  <si>
    <t>Cohort_5A_cam5_rat5_2025-11-26_12_11_55.csv</t>
  </si>
  <si>
    <t>Cohort_5A_cam5_rat5_2025-11-26_12_11_55</t>
  </si>
  <si>
    <t>/zfsgpu3/storage/lrn_project/josh_project/josh_lrn-gtk-2025-12-05/experimental_videos/11_26_25/Cohort_5A/cam5/11_26_25/rat3/2025-11-26_11_42_02_camcommerb5/Cohort_5A_cam5_rat3_2025-11-26_11_42_02.csv</t>
  </si>
  <si>
    <t>11_26_25/Cohort_5A/cam5/11_26_25/rat3/2025-11-26_11_42_02_camcommerb5/Cohort_5A_cam5_rat3_2025-11-26_11_42_02.csv</t>
  </si>
  <si>
    <t>Cohort_5A_cam5_rat3_2025-11-26_11_42_02.csv</t>
  </si>
  <si>
    <t>Cohort_5A_cam5_rat3_2025-11-26_11_42_02</t>
  </si>
  <si>
    <t>/zfsgpu3/storage/lrn_project/josh_project/josh_lrn-gtk-2025-12-05/experimental_videos/01_16_26/cam5/5B-6/2026-01-16_16_10_56_camcommerb5/postablate_cam5_5B-6_2026-01-16_16_10_56_camcommerb5.csv</t>
  </si>
  <si>
    <t>01_16_26/cam5/5B-6/2026-01-16_16_10_56_camcommerb5/postablate_cam5_5B-6_2026-01-16_16_10_56_camcommerb5.csv</t>
  </si>
  <si>
    <t>postablate_cam5_5B-6_2026-01-16_16_10_56_camcommerb5.csv</t>
  </si>
  <si>
    <t>postablate_cam5_5B-6_2026-01-16_16_10_56_camcommerb5</t>
  </si>
  <si>
    <t>/zfsgpu3/storage/lrn_project/josh_project/josh_lrn-gtk-2025-12-05/experimental_videos/01_16_26/cam5/5B-6/2026-01-16_16_11_54_camcommerb5/postablate_cam5_5B-6_2026-01-16_16_11_54_camcommerb5.csv</t>
  </si>
  <si>
    <t>01_16_26/cam5/5B-6/2026-01-16_16_11_54_camcommerb5/postablate_cam5_5B-6_2026-01-16_16_11_54_camcommerb5.csv</t>
  </si>
  <si>
    <t>postablate_cam5_5B-6_2026-01-16_16_11_54_camcommerb5.csv</t>
  </si>
  <si>
    <t>postablate_cam5_5B-6_2026-01-16_16_11_54_camcommerb5</t>
  </si>
  <si>
    <t>/zfsgpu3/storage/lrn_project/josh_project/josh_lrn-gtk-2025-12-05/experimental_videos/01_16_26/cam5/5B-6/2026-01-16_16_13_19_camcommerb5/postablate_cam5_5B-6_2026-01-16_16_13_19_camcommerb5.csv</t>
  </si>
  <si>
    <t>01_16_26/cam5/5B-6/2026-01-16_16_13_19_camcommerb5/postablate_cam5_5B-6_2026-01-16_16_13_19_camcommerb5.csv</t>
  </si>
  <si>
    <t>postablate_cam5_5B-6_2026-01-16_16_13_19_camcommerb5.csv</t>
  </si>
  <si>
    <t>postablate_cam5_5B-6_2026-01-16_16_13_19_camcommerb5</t>
  </si>
  <si>
    <t>/zfsgpu3/storage/lrn_project/josh_project/josh_lrn-gtk-2025-12-05/experimental_videos/01_16_26/cam5/5B-6/2026-01-16_16_13_35_camcommerb5/postablate_cam5_5B-6_2026-01-16_16_13_35_camcommerb5.csv</t>
  </si>
  <si>
    <t>01_16_26/cam5/5B-6/2026-01-16_16_13_35_camcommerb5/postablate_cam5_5B-6_2026-01-16_16_13_35_camcommerb5.csv</t>
  </si>
  <si>
    <t>postablate_cam5_5B-6_2026-01-16_16_13_35_camcommerb5.csv</t>
  </si>
  <si>
    <t>postablate_cam5_5B-6_2026-01-16_16_13_35_camcommerb5</t>
  </si>
  <si>
    <t>/zfsgpu3/storage/lrn_project/josh_project/josh_lrn-gtk-2025-12-05/experimental_videos/11_26_25/Cohort_5A/cam5/11_26_25/rat3/2025-11-26_11_32_55_camcommerb5/Cohort_5A_cam5_rat3_2025-11-26_11_32_55.csv</t>
  </si>
  <si>
    <t>11_26_25/Cohort_5A/cam5/11_26_25/rat3/2025-11-26_11_32_55_camcommerb5/Cohort_5A_cam5_rat3_2025-11-26_11_32_55.csv</t>
  </si>
  <si>
    <t>Cohort_5A_cam5_rat3_2025-11-26_11_32_55.csv</t>
  </si>
  <si>
    <t>Cohort_5A_cam5_rat3_2025-11-26_11_32_55</t>
  </si>
  <si>
    <t>/zfsgpu3/storage/lrn_project/josh_project/josh_lrn-gtk-2025-12-05/experimental_videos/11_26_25/Cohort_5A/cam5/11_26_25/rat3/2025-11-26_11_33_42_camcommerb5/Cohort_5A_cam5_rat3_2025-11-26_11_33_42.csv</t>
  </si>
  <si>
    <t>11_26_25/Cohort_5A/cam5/11_26_25/rat3/2025-11-26_11_33_42_camcommerb5/Cohort_5A_cam5_rat3_2025-11-26_11_33_42.csv</t>
  </si>
  <si>
    <t>Cohort_5A_cam5_rat3_2025-11-26_11_33_42.csv</t>
  </si>
  <si>
    <t>Cohort_5A_cam5_rat3_2025-11-26_11_33_42</t>
  </si>
  <si>
    <t>/zfsgpu3/storage/lrn_project/josh_project/josh_lrn-gtk-2025-12-05/experimental_videos/11_26_25/Cohort_5A/cam5/11_26_25/rat3/2025-11-26_11_41_44_camcommerb5/Cohort_5A_cam5_rat3_2025-11-26_11_41_44.csv</t>
  </si>
  <si>
    <t>11_26_25/Cohort_5A/cam5/11_26_25/rat3/2025-11-26_11_41_44_camcommerb5/Cohort_5A_cam5_rat3_2025-11-26_11_41_44.csv</t>
  </si>
  <si>
    <t>Cohort_5A_cam5_rat3_2025-11-26_11_41_44.csv</t>
  </si>
  <si>
    <t>Cohort_5A_cam5_rat3_2025-11-26_11_41_44</t>
  </si>
  <si>
    <t>handedness</t>
  </si>
  <si>
    <t>left</t>
  </si>
  <si>
    <t>right</t>
  </si>
  <si>
    <t>keep</t>
  </si>
  <si>
    <t>pass_slit</t>
  </si>
  <si>
    <t>keep_remove</t>
  </si>
  <si>
    <t>hand_lift_off</t>
  </si>
  <si>
    <t>reach_attempt_hand</t>
  </si>
  <si>
    <t>both</t>
  </si>
  <si>
    <t>end_frame</t>
  </si>
  <si>
    <t>clean</t>
  </si>
  <si>
    <t>yes</t>
  </si>
  <si>
    <t>p-cut</t>
  </si>
  <si>
    <t>control_experimental</t>
  </si>
  <si>
    <t>control</t>
  </si>
  <si>
    <t>experimental</t>
  </si>
  <si>
    <t>ppx_shelf</t>
  </si>
  <si>
    <t>mm</t>
  </si>
  <si>
    <t>mm_per_px</t>
  </si>
  <si>
    <t>reach_success_fail</t>
  </si>
  <si>
    <t>fail</t>
  </si>
  <si>
    <t>success</t>
  </si>
  <si>
    <t>retrieval_success_fail</t>
  </si>
  <si>
    <t>hand_flex</t>
  </si>
  <si>
    <t>hand_ext</t>
  </si>
  <si>
    <t>pellet_post_x</t>
  </si>
  <si>
    <t>pellet_post_y</t>
  </si>
  <si>
    <t>/zfsgpu3/storage/lrn_project/josh_project/josh_lrn-gtk-2025-12-05/experimental_videos/post_ablate/cam4/1_9_26/5B-rat2/2026-01-09_14_34_32_camcommerb4/postablate_cam4_1_9_26_5B-rat2_2026-01-09_14_34_32_camcommerb4.csv</t>
  </si>
  <si>
    <t>post_ablate/cam4/1_9_26/5B-rat2/2026-01-09_14_34_32_camcommerb4/postablate_cam4_1_9_26_5B-rat2_2026-01-09_14_34_32_camcommerb4.csv</t>
  </si>
  <si>
    <t>postablate_cam4_1_9_26_5B-rat2_2026-01-09_14_34_32_camcommerb4.csv</t>
  </si>
  <si>
    <t>postablate_cam4_1_9_26_5B-rat2_2026-01-09_14_34_32_camcommerb4</t>
  </si>
  <si>
    <t>/zfsgpu3/storage/lrn_project/josh_project/josh_lrn-gtk-2025-12-05/experimental_videos/post_ablate/cam4/1_9_26/5B-rat2/2026-01-09_14_34_45_camcommerb4/postablate_cam4_1_9_26_5B-rat2_2026-01-09_14_34_45_camcommerb4.csv</t>
  </si>
  <si>
    <t>post_ablate/cam4/1_9_26/5B-rat2/2026-01-09_14_34_45_camcommerb4/postablate_cam4_1_9_26_5B-rat2_2026-01-09_14_34_45_camcommerb4.csv</t>
  </si>
  <si>
    <t>postablate_cam4_1_9_26_5B-rat2_2026-01-09_14_34_45_camcommerb4.csv</t>
  </si>
  <si>
    <t>postablate_cam4_1_9_26_5B-rat2_2026-01-09_14_34_45_camcommerb4</t>
  </si>
  <si>
    <t>/zfsgpu3/storage/lrn_project/josh_project/josh_lrn-gtk-2025-12-05/experimental_videos/post_ablate/cam5/1_9_26/5B-rat2/2026-01-09_14_34_32_camcommerb5/postablate_cam5_1_9_26_5B-rat2_2026-01-09_14_34_32_camcommerb5.csv</t>
  </si>
  <si>
    <t>post_ablate/cam5/1_9_26/5B-rat2/2026-01-09_14_34_32_camcommerb5/postablate_cam5_1_9_26_5B-rat2_2026-01-09_14_34_32_camcommerb5.csv</t>
  </si>
  <si>
    <t>postablate_cam5_1_9_26_5B-rat2_2026-01-09_14_34_32_camcommerb5.csv</t>
  </si>
  <si>
    <t>postablate_cam5_1_9_26_5B-rat2_2026-01-09_14_34_32_camcommerb5</t>
  </si>
  <si>
    <t>/zfsgpu3/storage/lrn_project/josh_project/josh_lrn-gtk-2025-12-05/experimental_videos/post_ablate/cam5/1_9_26/5B-rat2/2026-01-09_14_34_45_camcommerb5/postablate_cam5_1_9_26_5B-rat2_2026-01-09_14_34_45_camcommerb5.csv</t>
  </si>
  <si>
    <t>post_ablate/cam5/1_9_26/5B-rat2/2026-01-09_14_34_45_camcommerb5/postablate_cam5_1_9_26_5B-rat2_2026-01-09_14_34_45_camcommerb5.csv</t>
  </si>
  <si>
    <t>postablate_cam5_1_9_26_5B-rat2_2026-01-09_14_34_45_camcommerb5.csv</t>
  </si>
  <si>
    <t>postablate_cam5_1_9_26_5B-rat2_2026-01-09_14_34_45_camcommerb5</t>
  </si>
  <si>
    <t>/zfsgpu3/storage/lrn_project/josh_project/josh_lrn-gtk-2025-12-05/experimental_videos/11_26_25/Cohort_5B/11_26_25/cam4-5B/rat1/2025-11-26_12_38_45_camcommerb4/Cohort_5B_cam4_rat1_2025-11-26_12_38_45.csv</t>
  </si>
  <si>
    <t>11_26_25/Cohort_5B/11_26_25/cam4-5B/rat1/2025-11-26_12_38_45_camcommerb4/Cohort_5B_cam4_rat1_2025-11-26_12_38_45.csv</t>
  </si>
  <si>
    <t>Cohort_5B_cam4_rat1_2025-11-26_12_38_45.csv</t>
  </si>
  <si>
    <t>Cohort_5B_cam4_rat1_2025-11-26_12_38_45</t>
  </si>
  <si>
    <t>/zfsgpu3/storage/lrn_project/josh_project/josh_lrn-gtk-2025-12-05/experimental_videos/11_26_25/Cohort_5B/11_26_25/cam4-5B/rat1/2025-11-26_12_37_25_camcommerb4/Cohort_5B_cam4_rat1_2025-11-26_12_37_25.csv</t>
  </si>
  <si>
    <t>11_26_25/Cohort_5B/11_26_25/cam4-5B/rat1/2025-11-26_12_37_25_camcommerb4/Cohort_5B_cam4_rat1_2025-11-26_12_37_25.csv</t>
  </si>
  <si>
    <t>Cohort_5B_cam4_rat1_2025-11-26_12_37_25.csv</t>
  </si>
  <si>
    <t>Cohort_5B_cam4_rat1_2025-11-26_12_37_25</t>
  </si>
  <si>
    <t>/zfsgpu3/storage/lrn_project/josh_project/josh_lrn-gtk-2025-12-05/experimental_videos/11_26_25/Cohort_5B/11_26_25/cam4-5B/rat2/2025-11-26_12_53_36_camcommerb4/Cohort_5B_cam4_rat2_2025-11-26_12_53_36.csv</t>
  </si>
  <si>
    <t>11_26_25/Cohort_5B/11_26_25/cam4-5B/rat2/2025-11-26_12_53_36_camcommerb4/Cohort_5B_cam4_rat2_2025-11-26_12_53_36.csv</t>
  </si>
  <si>
    <t>Cohort_5B_cam4_rat2_2025-11-26_12_53_36.csv</t>
  </si>
  <si>
    <t>Cohort_5B_cam4_rat2_2025-11-26_12_53_36</t>
  </si>
  <si>
    <t>/zfsgpu3/storage/lrn_project/josh_project/josh_lrn-gtk-2025-12-05/experimental_videos/11_26_25/Cohort_5B/11_26_25/cam4-5B/rat2/2025-11-26_12_46_41_camcommerb4/Cohort_5B_cam4_rat2_2025-11-26_12_46_41.csv</t>
  </si>
  <si>
    <t>11_26_25/Cohort_5B/11_26_25/cam4-5B/rat2/2025-11-26_12_46_41_camcommerb4/Cohort_5B_cam4_rat2_2025-11-26_12_46_41.csv</t>
  </si>
  <si>
    <t>Cohort_5B_cam4_rat2_2025-11-26_12_46_41.csv</t>
  </si>
  <si>
    <t>Cohort_5B_cam4_rat2_2025-11-26_12_46_41</t>
  </si>
  <si>
    <t>/zfsgpu3/storage/lrn_project/josh_project/josh_lrn-gtk-2025-12-05/experimental_videos/11_26_25/Cohort_5B/11_26_25/cam4-5B/rat2/2025-11-26_12_47_06_camcommerb4/Cohort_5B_cam4_rat2_2025-11-26_12_47_06.csv</t>
  </si>
  <si>
    <t>11_26_25/Cohort_5B/11_26_25/cam4-5B/rat2/2025-11-26_12_47_06_camcommerb4/Cohort_5B_cam4_rat2_2025-11-26_12_47_06.csv</t>
  </si>
  <si>
    <t>Cohort_5B_cam4_rat2_2025-11-26_12_47_06.csv</t>
  </si>
  <si>
    <t>Cohort_5B_cam4_rat2_2025-11-26_12_47_06</t>
  </si>
  <si>
    <t>/zfsgpu3/storage/lrn_project/josh_project/josh_lrn-gtk-2025-12-05/experimental_videos/11_26_25/Cohort_5B/11_26_25/cam4-5B/rat2/2025-11-26_12_51_22_camcommerb4/Cohort_5B_cam4_rat2_2025-11-26_12_51_22.csv</t>
  </si>
  <si>
    <t>11_26_25/Cohort_5B/11_26_25/cam4-5B/rat2/2025-11-26_12_51_22_camcommerb4/Cohort_5B_cam4_rat2_2025-11-26_12_51_22.csv</t>
  </si>
  <si>
    <t>Cohort_5B_cam4_rat2_2025-11-26_12_51_22.csv</t>
  </si>
  <si>
    <t>Cohort_5B_cam4_rat2_2025-11-26_12_51_22</t>
  </si>
  <si>
    <t>/zfsgpu3/storage/lrn_project/josh_project/josh_lrn-gtk-2025-12-05/experimental_videos/11_26_25/Cohort_5B/11_26_25/cam4-5B/rat2/2025-11-26_12_49_25_camcommerb4/Cohort_5B_cam4_rat2_2025-11-26_12_49_25.csv</t>
  </si>
  <si>
    <t>11_26_25/Cohort_5B/11_26_25/cam4-5B/rat2/2025-11-26_12_49_25_camcommerb4/Cohort_5B_cam4_rat2_2025-11-26_12_49_25.csv</t>
  </si>
  <si>
    <t>Cohort_5B_cam4_rat2_2025-11-26_12_49_25.csv</t>
  </si>
  <si>
    <t>Cohort_5B_cam4_rat2_2025-11-26_12_49_25</t>
  </si>
  <si>
    <t>/zfsgpu3/storage/lrn_project/josh_project/josh_lrn-gtk-2025-12-05/experimental_videos/11_26_25/Cohort_5B/11_26_25/cam4-5B/rat2/2025-11-26_12_48_48_camcommerb4/Cohort_5B_cam4_rat2_2025-11-26_12_48_48.csv</t>
  </si>
  <si>
    <t>11_26_25/Cohort_5B/11_26_25/cam4-5B/rat2/2025-11-26_12_48_48_camcommerb4/Cohort_5B_cam4_rat2_2025-11-26_12_48_48.csv</t>
  </si>
  <si>
    <t>Cohort_5B_cam4_rat2_2025-11-26_12_48_48.csv</t>
  </si>
  <si>
    <t>Cohort_5B_cam4_rat2_2025-11-26_12_48_48</t>
  </si>
  <si>
    <t>/zfsgpu3/storage/lrn_project/josh_project/josh_lrn-gtk-2025-12-05/experimental_videos/01_16_26/cam4/5A-4/2026-01-16_15_39_11_camcommerb4/postablate_cam4_5A-4_2026-01-16_15_39_11_camcommerb4.csv</t>
  </si>
  <si>
    <t>01_16_26/cam4/5A-4/2026-01-16_15_39_11_camcommerb4/postablate_cam4_5A-4_2026-01-16_15_39_11_camcommerb4.csv</t>
  </si>
  <si>
    <t>postablate_cam4_5A-4_2026-01-16_15_39_11_camcommerb4.csv</t>
  </si>
  <si>
    <t>postablate_cam4_5A-4_2026-01-16_15_39_11_camcommerb4</t>
  </si>
  <si>
    <t>/zfsgpu3/storage/lrn_project/josh_project/josh_lrn-gtk-2025-12-05/experimental_videos/01_16_26/cam4/5A-4/2026-01-16_15_39_30_camcommerb4/postablate_cam4_5A-4_2026-01-16_15_39_30_camcommerb4.csv</t>
  </si>
  <si>
    <t>01_16_26/cam4/5A-4/2026-01-16_15_39_30_camcommerb4/postablate_cam4_5A-4_2026-01-16_15_39_30_camcommerb4.csv</t>
  </si>
  <si>
    <t>postablate_cam4_5A-4_2026-01-16_15_39_30_camcommerb4.csv</t>
  </si>
  <si>
    <t>postablate_cam4_5A-4_2026-01-16_15_39_30_camcommerb4</t>
  </si>
  <si>
    <t>/zfsgpu3/storage/lrn_project/josh_project/josh_lrn-gtk-2025-12-05/experimental_videos/01_16_26/cam4/5A-4/2026-01-16_15_39_55_camcommerb4/postablate_cam4_5A-4_2026-01-16_15_39_55_camcommerb4.csv</t>
  </si>
  <si>
    <t>01_16_26/cam4/5A-4/2026-01-16_15_39_55_camcommerb4/postablate_cam4_5A-4_2026-01-16_15_39_55_camcommerb4.csv</t>
  </si>
  <si>
    <t>postablate_cam4_5A-4_2026-01-16_15_39_55_camcommerb4.csv</t>
  </si>
  <si>
    <t>postablate_cam4_5A-4_2026-01-16_15_39_55_camcommerb4</t>
  </si>
  <si>
    <t>/zfsgpu3/storage/lrn_project/josh_project/josh_lrn-gtk-2025-12-05/experimental_videos/01_16_26/cam4/5A-4/2026-01-16_15_40_14_camcommerb4/postablate_cam4_5A-4_2026-01-16_15_40_14_camcommerb4.csv</t>
  </si>
  <si>
    <t>01_16_26/cam4/5A-4/2026-01-16_15_40_14_camcommerb4/postablate_cam4_5A-4_2026-01-16_15_40_14_camcommerb4.csv</t>
  </si>
  <si>
    <t>postablate_cam4_5A-4_2026-01-16_15_40_14_camcommerb4.csv</t>
  </si>
  <si>
    <t>postablate_cam4_5A-4_2026-01-16_15_40_14_camcommerb4</t>
  </si>
  <si>
    <t>/zfsgpu3/storage/lrn_project/josh_project/josh_lrn-gtk-2025-12-05/experimental_videos/01_16_26/cam4/5A-4/2026-01-16_15_40_45_camcommerb4/postablate_cam4_5A-4_2026-01-16_15_40_45_camcommerb4.csv</t>
  </si>
  <si>
    <t>01_16_26/cam4/5A-4/2026-01-16_15_40_45_camcommerb4/postablate_cam4_5A-4_2026-01-16_15_40_45_camcommerb4.csv</t>
  </si>
  <si>
    <t>postablate_cam4_5A-4_2026-01-16_15_40_45_camcommerb4.csv</t>
  </si>
  <si>
    <t>postablate_cam4_5A-4_2026-01-16_15_40_45_camcommerb4</t>
  </si>
  <si>
    <t>/zfsgpu3/storage/lrn_project/josh_project/josh_lrn-gtk-2025-12-05/experimental_videos/11_26_25/Cohort_5B/11_26_25/cam4-5B/rat5/2025-11-26_13_19_58_camcommerb4/Cohort_5B_cam4_rat5_2025-11-26_13_19_58.csv</t>
  </si>
  <si>
    <t>11_26_25/Cohort_5B/11_26_25/cam4-5B/rat5/2025-11-26_13_19_58_camcommerb4/Cohort_5B_cam4_rat5_2025-11-26_13_19_58.csv</t>
  </si>
  <si>
    <t>Cohort_5B_cam4_rat5_2025-11-26_13_19_58.csv</t>
  </si>
  <si>
    <t>Cohort_5B_cam4_rat5_2025-11-26_13_19_58</t>
  </si>
  <si>
    <t>/zfsgpu3/storage/lrn_project/josh_project/josh_lrn-gtk-2025-12-05/experimental_videos/11_26_25/Cohort_5B/11_26_25/cam4-5B/rat5/2025-11-26_13_18_26_camcommerb4/Cohort_5B_cam4_rat5_2025-11-26_13_18_26.csv</t>
  </si>
  <si>
    <t>11_26_25/Cohort_5B/11_26_25/cam4-5B/rat5/2025-11-26_13_18_26_camcommerb4/Cohort_5B_cam4_rat5_2025-11-26_13_18_26.csv</t>
  </si>
  <si>
    <t>Cohort_5B_cam4_rat5_2025-11-26_13_18_26.csv</t>
  </si>
  <si>
    <t>Cohort_5B_cam4_rat5_2025-11-26_13_18_26</t>
  </si>
  <si>
    <t>/zfsgpu3/storage/lrn_project/josh_project/josh_lrn-gtk-2025-12-05/experimental_videos/11_26_25/Cohort_5B/11_26_25/cam4-5B/rat6/2025-11-26_13_36_59_camcommerb4/Cohort_5B_cam4_rat6_2025-11-26_13_36_59.csv</t>
  </si>
  <si>
    <t>11_26_25/Cohort_5B/11_26_25/cam4-5B/rat6/2025-11-26_13_36_59_camcommerb4/Cohort_5B_cam4_rat6_2025-11-26_13_36_59.csv</t>
  </si>
  <si>
    <t>Cohort_5B_cam4_rat6_2025-11-26_13_36_59.csv</t>
  </si>
  <si>
    <t>Cohort_5B_cam4_rat6_2025-11-26_13_36_59</t>
  </si>
  <si>
    <t>/zfsgpu3/storage/lrn_project/josh_project/josh_lrn-gtk-2025-12-05/experimental_videos/11_26_25/Cohort_5B/11_26_25/cam5-5B/rat1/2025-11-26_12_38_45_camcommerb5/Cohort_5B_cam5_rat1_2025-11-26_12_38_45.csv</t>
  </si>
  <si>
    <t>11_26_25/Cohort_5B/11_26_25/cam5-5B/rat1/2025-11-26_12_38_45_camcommerb5/Cohort_5B_cam5_rat1_2025-11-26_12_38_45.csv</t>
  </si>
  <si>
    <t>Cohort_5B_cam5_rat1_2025-11-26_12_38_45.csv</t>
  </si>
  <si>
    <t>Cohort_5B_cam5_rat1_2025-11-26_12_38_45</t>
  </si>
  <si>
    <t>/zfsgpu3/storage/lrn_project/josh_project/josh_lrn-gtk-2025-12-05/experimental_videos/11_26_25/Cohort_5B/11_26_25/cam5-5B/rat1/2025-11-26_12_37_25_camcommerb5/Cohort_5B_cam5_rat1_2025-11-26_12_37_25.csv</t>
  </si>
  <si>
    <t>11_26_25/Cohort_5B/11_26_25/cam5-5B/rat1/2025-11-26_12_37_25_camcommerb5/Cohort_5B_cam5_rat1_2025-11-26_12_37_25.csv</t>
  </si>
  <si>
    <t>Cohort_5B_cam5_rat1_2025-11-26_12_37_25.csv</t>
  </si>
  <si>
    <t>Cohort_5B_cam5_rat1_2025-11-26_12_37_25</t>
  </si>
  <si>
    <t>/zfsgpu3/storage/lrn_project/josh_project/josh_lrn-gtk-2025-12-05/experimental_videos/11_26_25/Cohort_5B/11_26_25/cam5-5B/rat2/2025-11-26_12_47_06_camcommerb5/Cohort_5B_cam5_rat2_2025-11-26_12_47_06.csv</t>
  </si>
  <si>
    <t>11_26_25/Cohort_5B/11_26_25/cam5-5B/rat2/2025-11-26_12_47_06_camcommerb5/Cohort_5B_cam5_rat2_2025-11-26_12_47_06.csv</t>
  </si>
  <si>
    <t>Cohort_5B_cam5_rat2_2025-11-26_12_47_06.csv</t>
  </si>
  <si>
    <t>Cohort_5B_cam5_rat2_2025-11-26_12_47_06</t>
  </si>
  <si>
    <t>/zfsgpu3/storage/lrn_project/josh_project/josh_lrn-gtk-2025-12-05/experimental_videos/11_26_25/Cohort_5B/11_26_25/cam5-5B/rat2/2025-11-26_12_46_41_camcommerb5/Cohort_5B_cam5_rat2_2025-11-26_12_46_41.csv</t>
  </si>
  <si>
    <t>11_26_25/Cohort_5B/11_26_25/cam5-5B/rat2/2025-11-26_12_46_41_camcommerb5/Cohort_5B_cam5_rat2_2025-11-26_12_46_41.csv</t>
  </si>
  <si>
    <t>Cohort_5B_cam5_rat2_2025-11-26_12_46_41.csv</t>
  </si>
  <si>
    <t>Cohort_5B_cam5_rat2_2025-11-26_12_46_41</t>
  </si>
  <si>
    <t>/zfsgpu3/storage/lrn_project/josh_project/josh_lrn-gtk-2025-12-05/experimental_videos/11_26_25/Cohort_5B/11_26_25/cam5-5B/rat2/2025-11-26_12_48_48_camcommerb5/Cohort_5B_cam5_rat2_2025-11-26_12_48_48.csv</t>
  </si>
  <si>
    <t>11_26_25/Cohort_5B/11_26_25/cam5-5B/rat2/2025-11-26_12_48_48_camcommerb5/Cohort_5B_cam5_rat2_2025-11-26_12_48_48.csv</t>
  </si>
  <si>
    <t>Cohort_5B_cam5_rat2_2025-11-26_12_48_48.csv</t>
  </si>
  <si>
    <t>Cohort_5B_cam5_rat2_2025-11-26_12_48_48</t>
  </si>
  <si>
    <t>/zfsgpu3/storage/lrn_project/josh_project/josh_lrn-gtk-2025-12-05/experimental_videos/11_26_25/Cohort_5B/11_26_25/cam5-5B/rat2/2025-11-26_12_49_25_camcommerb5/Cohort_5B_cam5_rat2_2025-11-26_12_49_25.csv</t>
  </si>
  <si>
    <t>11_26_25/Cohort_5B/11_26_25/cam5-5B/rat2/2025-11-26_12_49_25_camcommerb5/Cohort_5B_cam5_rat2_2025-11-26_12_49_25.csv</t>
  </si>
  <si>
    <t>Cohort_5B_cam5_rat2_2025-11-26_12_49_25.csv</t>
  </si>
  <si>
    <t>Cohort_5B_cam5_rat2_2025-11-26_12_49_25</t>
  </si>
  <si>
    <t>/zfsgpu3/storage/lrn_project/josh_project/josh_lrn-gtk-2025-12-05/experimental_videos/11_26_25/Cohort_5B/11_26_25/cam5-5B/rat2/2025-11-26_12_53_36_camcommerb5/Cohort_5B_cam5_rat2_2025-11-26_12_53_36.csv</t>
  </si>
  <si>
    <t>11_26_25/Cohort_5B/11_26_25/cam5-5B/rat2/2025-11-26_12_53_36_camcommerb5/Cohort_5B_cam5_rat2_2025-11-26_12_53_36.csv</t>
  </si>
  <si>
    <t>Cohort_5B_cam5_rat2_2025-11-26_12_53_36.csv</t>
  </si>
  <si>
    <t>Cohort_5B_cam5_rat2_2025-11-26_12_53_36</t>
  </si>
  <si>
    <t>/zfsgpu3/storage/lrn_project/josh_project/josh_lrn-gtk-2025-12-05/experimental_videos/01_16_26/cam5/5A-4/2026-01-16_15_38_37_camcommerb5/postablate_cam5_5A-4_2026-01-16_15_38_37_camcommerb5.csv</t>
  </si>
  <si>
    <t>01_16_26/cam5/5A-4/2026-01-16_15_38_37_camcommerb5/postablate_cam5_5A-4_2026-01-16_15_38_37_camcommerb5.csv</t>
  </si>
  <si>
    <t>postablate_cam5_5A-4_2026-01-16_15_38_37_camcommerb5.csv</t>
  </si>
  <si>
    <t>postablate_cam5_5A-4_2026-01-16_15_38_37_camcommerb5</t>
  </si>
  <si>
    <t>/zfsgpu3/storage/lrn_project/josh_project/josh_lrn-gtk-2025-12-05/experimental_videos/01_16_26/cam5/5A-4/2026-01-16_15_39_11_camcommerb5/postablate_cam5_5A-4_2026-01-16_15_39_11_camcommerb5.csv</t>
  </si>
  <si>
    <t>01_16_26/cam5/5A-4/2026-01-16_15_39_11_camcommerb5/postablate_cam5_5A-4_2026-01-16_15_39_11_camcommerb5.csv</t>
  </si>
  <si>
    <t>postablate_cam5_5A-4_2026-01-16_15_39_11_camcommerb5.csv</t>
  </si>
  <si>
    <t>postablate_cam5_5A-4_2026-01-16_15_39_11_camcommerb5</t>
  </si>
  <si>
    <t>/zfsgpu3/storage/lrn_project/josh_project/josh_lrn-gtk-2025-12-05/experimental_videos/01_16_26/cam5/5A-4/2026-01-16_15_39_30_camcommerb5/postablate_cam5_5A-4_2026-01-16_15_39_30_camcommerb5.csv</t>
  </si>
  <si>
    <t>01_16_26/cam5/5A-4/2026-01-16_15_39_30_camcommerb5/postablate_cam5_5A-4_2026-01-16_15_39_30_camcommerb5.csv</t>
  </si>
  <si>
    <t>postablate_cam5_5A-4_2026-01-16_15_39_30_camcommerb5.csv</t>
  </si>
  <si>
    <t>postablate_cam5_5A-4_2026-01-16_15_39_30_camcommerb5</t>
  </si>
  <si>
    <t>/zfsgpu3/storage/lrn_project/josh_project/josh_lrn-gtk-2025-12-05/experimental_videos/01_16_26/cam5/5A-4/2026-01-16_15_39_55_camcommerb5/postablate_cam5_5A-4_2026-01-16_15_39_55_camcommerb5.csv</t>
  </si>
  <si>
    <t>01_16_26/cam5/5A-4/2026-01-16_15_39_55_camcommerb5/postablate_cam5_5A-4_2026-01-16_15_39_55_camcommerb5.csv</t>
  </si>
  <si>
    <t>postablate_cam5_5A-4_2026-01-16_15_39_55_camcommerb5.csv</t>
  </si>
  <si>
    <t>postablate_cam5_5A-4_2026-01-16_15_39_55_camcommerb5</t>
  </si>
  <si>
    <t>/zfsgpu3/storage/lrn_project/josh_project/josh_lrn-gtk-2025-12-05/experimental_videos/01_16_26/cam5/5A-4/2026-01-16_15_40_14_camcommerb5/postablate_cam5_5A-4_2026-01-16_15_40_14_camcommerb5.csv</t>
  </si>
  <si>
    <t>01_16_26/cam5/5A-4/2026-01-16_15_40_14_camcommerb5/postablate_cam5_5A-4_2026-01-16_15_40_14_camcommerb5.csv</t>
  </si>
  <si>
    <t>postablate_cam5_5A-4_2026-01-16_15_40_14_camcommerb5.csv</t>
  </si>
  <si>
    <t>postablate_cam5_5A-4_2026-01-16_15_40_14_camcommerb5</t>
  </si>
  <si>
    <t>/zfsgpu3/storage/lrn_project/josh_project/josh_lrn-gtk-2025-12-05/experimental_videos/01_16_26/cam5/5A-4/2026-01-16_15_40_45_camcommerb5/postablate_cam5_5A-4_2026-01-16_15_40_45_camcommerb5.csv</t>
  </si>
  <si>
    <t>01_16_26/cam5/5A-4/2026-01-16_15_40_45_camcommerb5/postablate_cam5_5A-4_2026-01-16_15_40_45_camcommerb5.csv</t>
  </si>
  <si>
    <t>postablate_cam5_5A-4_2026-01-16_15_40_45_camcommerb5.csv</t>
  </si>
  <si>
    <t>postablate_cam5_5A-4_2026-01-16_15_40_45_camcommerb5</t>
  </si>
  <si>
    <t>/zfsgpu3/storage/lrn_project/josh_project/josh_lrn-gtk-2025-12-05/experimental_videos/01_16_26/cam5/5A-5/2026-01-16_15_48_04_camcommerb5/postablate_cam5_5A-5_2026-01-16_15_48_04_camcommerb5.csv</t>
  </si>
  <si>
    <t>01_16_26/cam5/5A-5/2026-01-16_15_48_04_camcommerb5/postablate_cam5_5A-5_2026-01-16_15_48_04_camcommerb5.csv</t>
  </si>
  <si>
    <t>postablate_cam5_5A-5_2026-01-16_15_48_04_camcommerb5.csv</t>
  </si>
  <si>
    <t>postablate_cam5_5A-5_2026-01-16_15_48_04_camcommerb5</t>
  </si>
  <si>
    <t>maybe</t>
  </si>
  <si>
    <t>/zfsgpu3/storage/lrn_project/josh_project/josh_lrn-gtk-2025-12-05/experimental_videos/11_26_25/Cohort_5B/11_26_25/cam5-5B/rat5/2025-11-26_13_20_31_camcommerb5/Cohort_5B_cam5_rat5_2025-11-26_13_20_31.csv</t>
  </si>
  <si>
    <t>11_26_25/Cohort_5B/11_26_25/cam5-5B/rat5/2025-11-26_13_20_31_camcommerb5/Cohort_5B_cam5_rat5_2025-11-26_13_20_31.csv</t>
  </si>
  <si>
    <t>Cohort_5B_cam5_rat5_2025-11-26_13_20_31.csv</t>
  </si>
  <si>
    <t>Cohort_5B_cam5_rat5_2025-11-26_13_20_31</t>
  </si>
  <si>
    <t>/zfsgpu3/storage/lrn_project/josh_project/josh_lrn-gtk-2025-12-05/experimental_videos/11_26_25/Cohort_5A/cam5/11_26_25/rat5/2025-11-26_12_15_09_camcommerb5/Cohort_5A_cam5_rat5_2025-11-26_12_15_09.csv</t>
  </si>
  <si>
    <t>11_26_25/Cohort_5A/cam5/11_26_25/rat5/2025-11-26_12_15_09_camcommerb5/Cohort_5A_cam5_rat5_2025-11-26_12_15_09.csv</t>
  </si>
  <si>
    <t>Cohort_5A_cam5_rat5_2025-11-26_12_15_09.csv</t>
  </si>
  <si>
    <t>Cohort_5A_cam5_rat5_2025-11-26_12_15_09</t>
  </si>
  <si>
    <t>/zfsgpu3/storage/lrn_project/josh_project/josh_lrn-gtk-2025-12-05/experimental_videos/11_26_25/Cohort_5B/11_26_25/cam5-5B/rat5/2025-11-26_13_19_58_camcommerb5/Cohort_5B_cam5_rat5_2025-11-26_13_19_58.csv</t>
  </si>
  <si>
    <t>11_26_25/Cohort_5B/11_26_25/cam5-5B/rat5/2025-11-26_13_19_58_camcommerb5/Cohort_5B_cam5_rat5_2025-11-26_13_19_58.csv</t>
  </si>
  <si>
    <t>Cohort_5B_cam5_rat5_2025-11-26_13_19_58.csv</t>
  </si>
  <si>
    <t>Cohort_5B_cam5_rat5_2025-11-26_13_19_58</t>
  </si>
  <si>
    <t>/zfsgpu3/storage/lrn_project/josh_project/josh_lrn-gtk-2025-12-05/experimental_videos/11_26_25/Cohort_5B/11_26_25/cam5-5B/rat5/2025-11-26_13_18_26_camcommerb5/Cohort_5B_cam5_rat5_2025-11-26_13_18_26.csv</t>
  </si>
  <si>
    <t>11_26_25/Cohort_5B/11_26_25/cam5-5B/rat5/2025-11-26_13_18_26_camcommerb5/Cohort_5B_cam5_rat5_2025-11-26_13_18_26.csv</t>
  </si>
  <si>
    <t>Cohort_5B_cam5_rat5_2025-11-26_13_18_26.csv</t>
  </si>
  <si>
    <t>Cohort_5B_cam5_rat5_2025-11-26_13_18_26</t>
  </si>
  <si>
    <t>/zfsgpu3/storage/lrn_project/josh_project/josh_lrn-gtk-2025-12-05/experimental_videos/11_26_25/Cohort_5B/11_26_25/cam5-5B/rat6/2025-11-26_13_36_59_camcommerb5/Cohort_5B_cam5_rat6_2025-11-26_13_36_59.csv</t>
  </si>
  <si>
    <t>11_26_25/Cohort_5B/11_26_25/cam5-5B/rat6/2025-11-26_13_36_59_camcommerb5/Cohort_5B_cam5_rat6_2025-11-26_13_36_59.csv</t>
  </si>
  <si>
    <t>Cohort_5B_cam5_rat6_2025-11-26_13_36_59.csv</t>
  </si>
  <si>
    <t>Cohort_5B_cam5_rat6_2025-11-26_13_36_59</t>
  </si>
  <si>
    <t>/zfsgpu3/storage/lrn_project/josh_project/josh_lrn-gtk-2025-12-05/experimental_videos/11_26_25/Cohort_5A/cam5/11_26_25/rat6/2025-11-26_12_25_15_camcommerb5/Cohort_5A_cam5_rat6_2025-11-26_12_25_15.csv</t>
  </si>
  <si>
    <t>11_26_25/Cohort_5A/cam5/11_26_25/rat6/2025-11-26_12_25_15_camcommerb5/Cohort_5A_cam5_rat6_2025-11-26_12_25_15.csv</t>
  </si>
  <si>
    <t>Cohort_5A_cam5_rat6_2025-11-26_12_25_15.csv</t>
  </si>
  <si>
    <t>Cohort_5A_cam5_rat6_2025-11-26_12_25_15</t>
  </si>
  <si>
    <t>/zfsgpu3/storage/lrn_project/josh_project/josh_lrn-gtk-2025-12-05/experimental_videos/11_26_25/Cohort_5B/11_26_25/cam4-5B/rat6/2025-11-26_13_34_33_camcommerb4/Cohort_5B_cam4_rat6_2025-11-26_13_34_33.csv</t>
  </si>
  <si>
    <t>11_26_25/Cohort_5B/11_26_25/cam4-5B/rat6/2025-11-26_13_34_33_camcommerb4/Cohort_5B_cam4_rat6_2025-11-26_13_34_33.csv</t>
  </si>
  <si>
    <t>Cohort_5B_cam4_rat6_2025-11-26_13_34_33.csv</t>
  </si>
  <si>
    <t>Cohort_5B_cam4_rat6_2025-11-26_13_34_33</t>
  </si>
  <si>
    <t>/zfsgpu3/storage/lrn_project/josh_project/josh_lrn-gtk-2025-12-05/experimental_videos/11_26_25/Cohort_5B/11_26_25/cam5-5B/rat6/2025-11-26_13_34_33_camcommerb5/Cohort_5B_cam5_rat6_2025-11-26_13_34_33.csv</t>
  </si>
  <si>
    <t>11_26_25/Cohort_5B/11_26_25/cam5-5B/rat6/2025-11-26_13_34_33_camcommerb5/Cohort_5B_cam5_rat6_2025-11-26_13_34_33.csv</t>
  </si>
  <si>
    <t>Cohort_5B_cam5_rat6_2025-11-26_13_34_33.csv</t>
  </si>
  <si>
    <t>Cohort_5B_cam5_rat6_2025-11-26_13_34_33</t>
  </si>
  <si>
    <t>added_later</t>
  </si>
  <si>
    <t>no</t>
  </si>
  <si>
    <t>comments_on_grasp</t>
  </si>
  <si>
    <t>really long flexion</t>
  </si>
  <si>
    <t>grasps and then eats</t>
  </si>
  <si>
    <t>grasps the whole time</t>
  </si>
  <si>
    <t>no real grasp</t>
  </si>
  <si>
    <t>no real grasp; swats instead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</si>
</sst>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35" borderId="0" xfId="0" applyFill="1"/>
    <xf numFmtId="0" fontId="0" fillId="0" borderId="0" xfId="0" applyAlignment="1">
      <alignment horizontal="center"/>
    </xf>
    <xf numFmtId="0" fontId="0" fillId="36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3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Fill="1"/>
    <xf numFmtId="0" fontId="0" fillId="36" borderId="0" xfId="0" applyFill="1" applyAlignment="1">
      <alignment horizontal="left"/>
    </xf>
    <xf numFmtId="0" fontId="0" fillId="0" borderId="0" xfId="0" applyAlignment="1">
      <alignment horizontal="left"/>
    </xf>
    <xf numFmtId="0" fontId="0" fillId="37" borderId="0" xfId="0" applyFill="1" applyAlignment="1">
      <alignment horizontal="center"/>
    </xf>
    <xf numFmtId="0" fontId="0" fillId="37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1AD4-71E5-494D-9778-0EDF28B164E6}">
  <dimension ref="A1:AU794"/>
  <sheetViews>
    <sheetView tabSelected="1" topLeftCell="B1" zoomScale="90" zoomScaleNormal="90" workbookViewId="0">
      <pane ySplit="1" topLeftCell="A137" activePane="bottomLeft" state="frozen"/>
      <selection pane="bottomLeft" activeCell="D176" sqref="D176"/>
    </sheetView>
  </sheetViews>
  <sheetFormatPr baseColWidth="10" defaultRowHeight="16" x14ac:dyDescent="0.2"/>
  <cols>
    <col min="1" max="1" width="2.5" customWidth="1"/>
    <col min="2" max="2" width="30.6640625" customWidth="1"/>
    <col min="3" max="3" width="45.33203125" customWidth="1"/>
    <col min="4" max="4" width="41.1640625" customWidth="1"/>
    <col min="5" max="5" width="10.83203125" customWidth="1"/>
    <col min="6" max="7" width="8.5" customWidth="1"/>
    <col min="8" max="8" width="18.6640625" style="13" customWidth="1"/>
    <col min="9" max="12" width="18.83203125" customWidth="1"/>
    <col min="13" max="14" width="8.5" customWidth="1"/>
    <col min="15" max="15" width="10.83203125" customWidth="1"/>
    <col min="16" max="16" width="6.6640625" bestFit="1" customWidth="1"/>
    <col min="17" max="17" width="34.1640625" customWidth="1"/>
    <col min="18" max="18" width="6.1640625" bestFit="1" customWidth="1"/>
    <col min="19" max="19" width="5.83203125" bestFit="1" customWidth="1"/>
    <col min="20" max="20" width="9.6640625" bestFit="1" customWidth="1"/>
    <col min="21" max="21" width="11.6640625" bestFit="1" customWidth="1"/>
    <col min="22" max="22" width="8.5" bestFit="1" customWidth="1"/>
    <col min="23" max="23" width="8.5" customWidth="1"/>
    <col min="24" max="24" width="11.5" bestFit="1" customWidth="1"/>
    <col min="25" max="25" width="18.33203125" bestFit="1" customWidth="1"/>
    <col min="26" max="26" width="12.1640625" bestFit="1" customWidth="1"/>
    <col min="28" max="30" width="10.83203125" style="11"/>
  </cols>
  <sheetData>
    <row r="1" spans="1:44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961</v>
      </c>
      <c r="F1" s="5" t="s">
        <v>788</v>
      </c>
      <c r="G1" s="5" t="s">
        <v>789</v>
      </c>
      <c r="H1" s="12" t="s">
        <v>963</v>
      </c>
      <c r="I1" s="5" t="s">
        <v>784</v>
      </c>
      <c r="J1" s="5" t="s">
        <v>787</v>
      </c>
      <c r="K1" s="5" t="s">
        <v>790</v>
      </c>
      <c r="L1" s="5" t="s">
        <v>791</v>
      </c>
      <c r="M1" s="6" t="s">
        <v>775</v>
      </c>
      <c r="N1" s="6" t="s">
        <v>777</v>
      </c>
      <c r="O1" s="4" t="s">
        <v>4</v>
      </c>
      <c r="P1" s="4" t="s">
        <v>5</v>
      </c>
      <c r="Q1" s="4" t="s">
        <v>778</v>
      </c>
      <c r="R1" s="4" t="s">
        <v>6</v>
      </c>
      <c r="S1" s="4" t="s">
        <v>7</v>
      </c>
      <c r="T1" s="4" t="s">
        <v>8</v>
      </c>
      <c r="U1" s="4" t="s">
        <v>771</v>
      </c>
      <c r="V1" s="4" t="s">
        <v>769</v>
      </c>
      <c r="W1" s="4" t="s">
        <v>774</v>
      </c>
      <c r="X1" s="4" t="s">
        <v>765</v>
      </c>
      <c r="Y1" s="4" t="s">
        <v>772</v>
      </c>
      <c r="Z1" s="4" t="s">
        <v>770</v>
      </c>
      <c r="AA1" s="4" t="s">
        <v>9</v>
      </c>
      <c r="AB1" s="7" t="s">
        <v>782</v>
      </c>
      <c r="AC1" s="7" t="s">
        <v>783</v>
      </c>
      <c r="AD1" s="7" t="s">
        <v>781</v>
      </c>
      <c r="AE1" s="4" t="s">
        <v>10</v>
      </c>
      <c r="AF1" s="4" t="s">
        <v>11</v>
      </c>
      <c r="AG1" s="4" t="s">
        <v>12</v>
      </c>
      <c r="AH1" s="4" t="s">
        <v>13</v>
      </c>
      <c r="AI1" s="4" t="s">
        <v>14</v>
      </c>
      <c r="AJ1" s="4" t="s">
        <v>15</v>
      </c>
      <c r="AK1" s="4" t="s">
        <v>16</v>
      </c>
      <c r="AL1" s="4" t="s">
        <v>17</v>
      </c>
      <c r="AM1" s="4" t="s">
        <v>18</v>
      </c>
      <c r="AN1" s="4" t="s">
        <v>19</v>
      </c>
      <c r="AO1" s="4" t="s">
        <v>20</v>
      </c>
      <c r="AP1" s="4" t="s">
        <v>21</v>
      </c>
      <c r="AQ1" s="4" t="s">
        <v>22</v>
      </c>
      <c r="AR1" s="4" t="s">
        <v>23</v>
      </c>
    </row>
    <row r="2" spans="1:44" x14ac:dyDescent="0.2">
      <c r="A2" s="8" t="s">
        <v>160</v>
      </c>
      <c r="B2" s="8" t="s">
        <v>161</v>
      </c>
      <c r="C2" s="8" t="s">
        <v>162</v>
      </c>
      <c r="D2" s="8" t="s">
        <v>163</v>
      </c>
      <c r="E2" s="8" t="s">
        <v>962</v>
      </c>
      <c r="F2" s="5">
        <v>510</v>
      </c>
      <c r="G2" s="5">
        <v>899</v>
      </c>
      <c r="H2" s="12" t="s">
        <v>964</v>
      </c>
      <c r="I2" s="5" t="s">
        <v>785</v>
      </c>
      <c r="J2" s="5" t="s">
        <v>785</v>
      </c>
      <c r="K2" s="5">
        <v>684</v>
      </c>
      <c r="L2" s="5">
        <v>289</v>
      </c>
      <c r="M2" s="6" t="s">
        <v>776</v>
      </c>
      <c r="N2" s="6">
        <v>0.14299999999999999</v>
      </c>
      <c r="O2" s="8" t="s">
        <v>133</v>
      </c>
      <c r="P2" s="8" t="s">
        <v>25</v>
      </c>
      <c r="Q2" s="8" t="s">
        <v>779</v>
      </c>
      <c r="R2" s="8" t="s">
        <v>25</v>
      </c>
      <c r="S2" s="8">
        <v>4</v>
      </c>
      <c r="T2" s="8">
        <v>4</v>
      </c>
      <c r="U2" s="8">
        <v>397</v>
      </c>
      <c r="V2" s="8">
        <v>481</v>
      </c>
      <c r="W2" s="8">
        <f t="shared" ref="W2:W33" si="0">V2+100</f>
        <v>581</v>
      </c>
      <c r="X2" s="4" t="s">
        <v>766</v>
      </c>
      <c r="Y2" s="4" t="s">
        <v>766</v>
      </c>
      <c r="Z2" s="4" t="s">
        <v>768</v>
      </c>
      <c r="AA2" s="4">
        <v>4</v>
      </c>
      <c r="AB2" s="7">
        <v>32.5</v>
      </c>
      <c r="AC2" s="7">
        <f t="shared" ref="AC2:AC33" si="1">AB2/AD2</f>
        <v>0.29276641743987025</v>
      </c>
      <c r="AD2" s="7">
        <v>111.01</v>
      </c>
      <c r="AE2" s="9">
        <v>45987</v>
      </c>
      <c r="AF2" s="9">
        <v>45987</v>
      </c>
      <c r="AG2" s="10">
        <v>0.50298611111111113</v>
      </c>
      <c r="AH2" s="4" t="s">
        <v>26</v>
      </c>
      <c r="AI2" s="4" t="s">
        <v>134</v>
      </c>
      <c r="AJ2" s="4" t="s">
        <v>135</v>
      </c>
      <c r="AK2" s="4" t="s">
        <v>136</v>
      </c>
      <c r="AL2" s="4" t="s">
        <v>137</v>
      </c>
      <c r="AM2" s="4" t="s">
        <v>138</v>
      </c>
      <c r="AN2" s="4" t="s">
        <v>139</v>
      </c>
      <c r="AO2" s="4" t="s">
        <v>140</v>
      </c>
      <c r="AP2" s="4" t="s">
        <v>141</v>
      </c>
      <c r="AQ2" s="4" t="s">
        <v>142</v>
      </c>
      <c r="AR2" s="4" t="s">
        <v>143</v>
      </c>
    </row>
    <row r="3" spans="1:44" x14ac:dyDescent="0.2">
      <c r="A3" s="8" t="s">
        <v>172</v>
      </c>
      <c r="B3" s="8" t="s">
        <v>173</v>
      </c>
      <c r="C3" s="8" t="s">
        <v>174</v>
      </c>
      <c r="D3" s="8" t="s">
        <v>175</v>
      </c>
      <c r="E3" s="8" t="s">
        <v>962</v>
      </c>
      <c r="F3" s="5">
        <v>580</v>
      </c>
      <c r="G3" s="5"/>
      <c r="H3" s="12" t="s">
        <v>965</v>
      </c>
      <c r="I3" s="5" t="s">
        <v>786</v>
      </c>
      <c r="J3" s="5" t="s">
        <v>786</v>
      </c>
      <c r="K3" s="5">
        <v>684</v>
      </c>
      <c r="L3" s="5">
        <v>289</v>
      </c>
      <c r="M3" s="6" t="s">
        <v>776</v>
      </c>
      <c r="N3" s="6">
        <v>0.24</v>
      </c>
      <c r="O3" s="8" t="s">
        <v>133</v>
      </c>
      <c r="P3" s="8" t="s">
        <v>25</v>
      </c>
      <c r="Q3" s="8" t="s">
        <v>779</v>
      </c>
      <c r="R3" s="8" t="s">
        <v>25</v>
      </c>
      <c r="S3" s="8">
        <v>4</v>
      </c>
      <c r="T3" s="8">
        <v>4</v>
      </c>
      <c r="U3" s="8">
        <v>506</v>
      </c>
      <c r="V3" s="8">
        <v>548</v>
      </c>
      <c r="W3" s="8">
        <f t="shared" si="0"/>
        <v>648</v>
      </c>
      <c r="X3" s="4" t="s">
        <v>766</v>
      </c>
      <c r="Y3" s="4" t="s">
        <v>766</v>
      </c>
      <c r="Z3" s="4" t="s">
        <v>768</v>
      </c>
      <c r="AA3" s="4">
        <v>4</v>
      </c>
      <c r="AB3" s="7">
        <v>32.5</v>
      </c>
      <c r="AC3" s="7">
        <f t="shared" si="1"/>
        <v>0.29276641743987025</v>
      </c>
      <c r="AD3" s="7">
        <v>111.01</v>
      </c>
      <c r="AE3" s="9">
        <v>45987</v>
      </c>
      <c r="AF3" s="9">
        <v>45987</v>
      </c>
      <c r="AG3" s="10">
        <v>0.50329861111111107</v>
      </c>
      <c r="AH3" s="4" t="s">
        <v>26</v>
      </c>
      <c r="AI3" s="4" t="s">
        <v>134</v>
      </c>
      <c r="AJ3" s="4" t="s">
        <v>135</v>
      </c>
      <c r="AK3" s="4" t="s">
        <v>136</v>
      </c>
      <c r="AL3" s="4" t="s">
        <v>137</v>
      </c>
      <c r="AM3" s="4" t="s">
        <v>138</v>
      </c>
      <c r="AN3" s="4" t="s">
        <v>139</v>
      </c>
      <c r="AO3" s="4" t="s">
        <v>140</v>
      </c>
      <c r="AP3" s="4" t="s">
        <v>141</v>
      </c>
      <c r="AQ3" s="4" t="s">
        <v>142</v>
      </c>
      <c r="AR3" s="4" t="s">
        <v>143</v>
      </c>
    </row>
    <row r="4" spans="1:44" x14ac:dyDescent="0.2">
      <c r="A4" s="8" t="s">
        <v>184</v>
      </c>
      <c r="B4" s="8" t="s">
        <v>185</v>
      </c>
      <c r="C4" s="8" t="s">
        <v>186</v>
      </c>
      <c r="D4" s="8" t="s">
        <v>187</v>
      </c>
      <c r="E4" s="8" t="s">
        <v>962</v>
      </c>
      <c r="F4" s="5">
        <v>645</v>
      </c>
      <c r="G4" s="5"/>
      <c r="H4" s="12" t="s">
        <v>965</v>
      </c>
      <c r="I4" s="5" t="s">
        <v>786</v>
      </c>
      <c r="J4" s="5" t="s">
        <v>786</v>
      </c>
      <c r="K4" s="5">
        <v>684</v>
      </c>
      <c r="L4" s="5">
        <v>289</v>
      </c>
      <c r="M4" s="6" t="s">
        <v>776</v>
      </c>
      <c r="N4" s="6">
        <v>0.39</v>
      </c>
      <c r="O4" s="8" t="s">
        <v>133</v>
      </c>
      <c r="P4" s="8" t="s">
        <v>25</v>
      </c>
      <c r="Q4" s="8" t="s">
        <v>779</v>
      </c>
      <c r="R4" s="8" t="s">
        <v>25</v>
      </c>
      <c r="S4" s="8">
        <v>4</v>
      </c>
      <c r="T4" s="8">
        <v>4</v>
      </c>
      <c r="U4" s="8">
        <v>251</v>
      </c>
      <c r="V4" s="8">
        <v>413</v>
      </c>
      <c r="W4" s="8">
        <f t="shared" si="0"/>
        <v>513</v>
      </c>
      <c r="X4" s="4" t="s">
        <v>766</v>
      </c>
      <c r="Y4" s="4" t="s">
        <v>766</v>
      </c>
      <c r="Z4" s="4" t="s">
        <v>768</v>
      </c>
      <c r="AA4" s="4">
        <v>4</v>
      </c>
      <c r="AB4" s="7">
        <v>32.5</v>
      </c>
      <c r="AC4" s="7">
        <f t="shared" si="1"/>
        <v>0.29276641743987025</v>
      </c>
      <c r="AD4" s="7">
        <v>111.01</v>
      </c>
      <c r="AE4" s="9">
        <v>45987</v>
      </c>
      <c r="AF4" s="9">
        <v>45987</v>
      </c>
      <c r="AG4" s="10">
        <v>0.50192129629629634</v>
      </c>
      <c r="AH4" s="4" t="s">
        <v>26</v>
      </c>
      <c r="AI4" s="4" t="s">
        <v>134</v>
      </c>
      <c r="AJ4" s="4" t="s">
        <v>135</v>
      </c>
      <c r="AK4" s="4" t="s">
        <v>136</v>
      </c>
      <c r="AL4" s="4" t="s">
        <v>137</v>
      </c>
      <c r="AM4" s="4" t="s">
        <v>138</v>
      </c>
      <c r="AN4" s="4" t="s">
        <v>139</v>
      </c>
      <c r="AO4" s="4" t="s">
        <v>140</v>
      </c>
      <c r="AP4" s="4" t="s">
        <v>141</v>
      </c>
      <c r="AQ4" s="4" t="s">
        <v>142</v>
      </c>
      <c r="AR4" s="4" t="s">
        <v>143</v>
      </c>
    </row>
    <row r="5" spans="1:44" ht="15" customHeight="1" x14ac:dyDescent="0.2">
      <c r="A5" s="8" t="s">
        <v>148</v>
      </c>
      <c r="B5" s="8" t="s">
        <v>149</v>
      </c>
      <c r="C5" s="8" t="s">
        <v>150</v>
      </c>
      <c r="D5" s="8" t="s">
        <v>151</v>
      </c>
      <c r="E5" s="8" t="s">
        <v>962</v>
      </c>
      <c r="F5" s="5">
        <v>452</v>
      </c>
      <c r="G5" s="5"/>
      <c r="H5" s="12" t="s">
        <v>966</v>
      </c>
      <c r="I5" s="5" t="s">
        <v>785</v>
      </c>
      <c r="J5" s="5" t="s">
        <v>785</v>
      </c>
      <c r="K5" s="5">
        <v>684</v>
      </c>
      <c r="L5" s="5">
        <v>289</v>
      </c>
      <c r="M5" s="6" t="s">
        <v>776</v>
      </c>
      <c r="N5" s="6">
        <v>0.11</v>
      </c>
      <c r="O5" s="8" t="s">
        <v>133</v>
      </c>
      <c r="P5" s="8" t="s">
        <v>25</v>
      </c>
      <c r="Q5" s="8" t="s">
        <v>779</v>
      </c>
      <c r="R5" s="8" t="s">
        <v>25</v>
      </c>
      <c r="S5" s="8">
        <v>4</v>
      </c>
      <c r="T5" s="8">
        <v>4</v>
      </c>
      <c r="U5" s="8">
        <v>317</v>
      </c>
      <c r="V5" s="8">
        <v>422</v>
      </c>
      <c r="W5" s="8">
        <f t="shared" si="0"/>
        <v>522</v>
      </c>
      <c r="X5" s="4" t="s">
        <v>766</v>
      </c>
      <c r="Y5" s="4"/>
      <c r="Z5" s="4" t="s">
        <v>768</v>
      </c>
      <c r="AA5" s="4">
        <v>4</v>
      </c>
      <c r="AB5" s="7">
        <v>32.5</v>
      </c>
      <c r="AC5" s="7">
        <f t="shared" si="1"/>
        <v>0.29276641743987025</v>
      </c>
      <c r="AD5" s="7">
        <v>111.01</v>
      </c>
      <c r="AE5" s="9">
        <v>45987</v>
      </c>
      <c r="AF5" s="9">
        <v>45987</v>
      </c>
      <c r="AG5" s="10">
        <v>0.49949074074074074</v>
      </c>
      <c r="AH5" s="4" t="s">
        <v>26</v>
      </c>
      <c r="AI5" s="4" t="s">
        <v>134</v>
      </c>
      <c r="AJ5" s="4" t="s">
        <v>135</v>
      </c>
      <c r="AK5" s="4" t="s">
        <v>136</v>
      </c>
      <c r="AL5" s="4" t="s">
        <v>137</v>
      </c>
      <c r="AM5" s="4" t="s">
        <v>138</v>
      </c>
      <c r="AN5" s="4" t="s">
        <v>139</v>
      </c>
      <c r="AO5" s="4" t="s">
        <v>140</v>
      </c>
      <c r="AP5" s="4" t="s">
        <v>141</v>
      </c>
      <c r="AQ5" s="4" t="s">
        <v>142</v>
      </c>
      <c r="AR5" s="4" t="s">
        <v>143</v>
      </c>
    </row>
    <row r="6" spans="1:44" x14ac:dyDescent="0.2">
      <c r="A6" s="8" t="s">
        <v>156</v>
      </c>
      <c r="B6" s="8" t="s">
        <v>157</v>
      </c>
      <c r="C6" s="8" t="s">
        <v>158</v>
      </c>
      <c r="D6" s="8" t="s">
        <v>159</v>
      </c>
      <c r="E6" s="8" t="s">
        <v>962</v>
      </c>
      <c r="F6" s="5">
        <v>533</v>
      </c>
      <c r="G6" s="5"/>
      <c r="H6" s="12"/>
      <c r="I6" s="5" t="s">
        <v>786</v>
      </c>
      <c r="J6" s="5" t="s">
        <v>786</v>
      </c>
      <c r="K6" s="5">
        <v>684</v>
      </c>
      <c r="L6" s="5">
        <v>289</v>
      </c>
      <c r="M6" s="6" t="s">
        <v>776</v>
      </c>
      <c r="N6" s="6">
        <v>0.188</v>
      </c>
      <c r="O6" s="8" t="s">
        <v>133</v>
      </c>
      <c r="P6" s="8" t="s">
        <v>25</v>
      </c>
      <c r="Q6" s="8" t="s">
        <v>779</v>
      </c>
      <c r="R6" s="8" t="s">
        <v>25</v>
      </c>
      <c r="S6" s="8">
        <v>4</v>
      </c>
      <c r="T6" s="8">
        <v>4</v>
      </c>
      <c r="U6" s="8">
        <v>422</v>
      </c>
      <c r="V6" s="8">
        <v>502</v>
      </c>
      <c r="W6" s="8">
        <f t="shared" si="0"/>
        <v>602</v>
      </c>
      <c r="X6" s="4" t="s">
        <v>766</v>
      </c>
      <c r="Y6" s="4"/>
      <c r="Z6" s="4" t="s">
        <v>768</v>
      </c>
      <c r="AA6" s="4">
        <v>4</v>
      </c>
      <c r="AB6" s="7">
        <v>32.5</v>
      </c>
      <c r="AC6" s="7">
        <f t="shared" si="1"/>
        <v>0.29276641743987025</v>
      </c>
      <c r="AD6" s="7">
        <v>111.01</v>
      </c>
      <c r="AE6" s="9">
        <v>45987</v>
      </c>
      <c r="AF6" s="9">
        <v>45987</v>
      </c>
      <c r="AG6" s="10">
        <v>0.50024305555555559</v>
      </c>
      <c r="AH6" s="4" t="s">
        <v>26</v>
      </c>
      <c r="AI6" s="4" t="s">
        <v>134</v>
      </c>
      <c r="AJ6" s="4" t="s">
        <v>135</v>
      </c>
      <c r="AK6" s="4" t="s">
        <v>136</v>
      </c>
      <c r="AL6" s="4" t="s">
        <v>137</v>
      </c>
      <c r="AM6" s="4" t="s">
        <v>138</v>
      </c>
      <c r="AN6" s="4" t="s">
        <v>139</v>
      </c>
      <c r="AO6" s="4" t="s">
        <v>140</v>
      </c>
      <c r="AP6" s="4" t="s">
        <v>141</v>
      </c>
      <c r="AQ6" s="4" t="s">
        <v>142</v>
      </c>
      <c r="AR6" s="4" t="s">
        <v>143</v>
      </c>
    </row>
    <row r="7" spans="1:44" x14ac:dyDescent="0.2">
      <c r="A7" s="8" t="s">
        <v>164</v>
      </c>
      <c r="B7" s="8" t="s">
        <v>165</v>
      </c>
      <c r="C7" s="8" t="s">
        <v>166</v>
      </c>
      <c r="D7" s="8" t="s">
        <v>167</v>
      </c>
      <c r="E7" s="8" t="s">
        <v>962</v>
      </c>
      <c r="F7" s="5">
        <v>731</v>
      </c>
      <c r="G7" s="5"/>
      <c r="H7" s="12"/>
      <c r="I7" s="5" t="s">
        <v>785</v>
      </c>
      <c r="J7" s="5" t="s">
        <v>785</v>
      </c>
      <c r="K7" s="5">
        <v>684</v>
      </c>
      <c r="L7" s="5">
        <v>289</v>
      </c>
      <c r="M7" s="6" t="s">
        <v>776</v>
      </c>
      <c r="N7" s="6">
        <v>0.11600000000000001</v>
      </c>
      <c r="O7" s="8" t="s">
        <v>133</v>
      </c>
      <c r="P7" s="8" t="s">
        <v>25</v>
      </c>
      <c r="Q7" s="8" t="s">
        <v>779</v>
      </c>
      <c r="R7" s="8" t="s">
        <v>25</v>
      </c>
      <c r="S7" s="8">
        <v>4</v>
      </c>
      <c r="T7" s="8">
        <v>4</v>
      </c>
      <c r="U7" s="8">
        <v>516</v>
      </c>
      <c r="V7" s="8">
        <v>693</v>
      </c>
      <c r="W7" s="8">
        <f t="shared" si="0"/>
        <v>793</v>
      </c>
      <c r="X7" s="4" t="s">
        <v>766</v>
      </c>
      <c r="Y7" s="4"/>
      <c r="Z7" s="4" t="s">
        <v>768</v>
      </c>
      <c r="AA7" s="4">
        <v>4</v>
      </c>
      <c r="AB7" s="7">
        <v>32.5</v>
      </c>
      <c r="AC7" s="7">
        <f t="shared" si="1"/>
        <v>0.29276641743987025</v>
      </c>
      <c r="AD7" s="7">
        <v>111.01</v>
      </c>
      <c r="AE7" s="9">
        <v>45987</v>
      </c>
      <c r="AF7" s="9">
        <v>45987</v>
      </c>
      <c r="AG7" s="10">
        <v>0.50240740740740741</v>
      </c>
      <c r="AH7" s="4" t="s">
        <v>26</v>
      </c>
      <c r="AI7" s="4" t="s">
        <v>134</v>
      </c>
      <c r="AJ7" s="4" t="s">
        <v>135</v>
      </c>
      <c r="AK7" s="4" t="s">
        <v>136</v>
      </c>
      <c r="AL7" s="4" t="s">
        <v>137</v>
      </c>
      <c r="AM7" s="4" t="s">
        <v>138</v>
      </c>
      <c r="AN7" s="4" t="s">
        <v>139</v>
      </c>
      <c r="AO7" s="4" t="s">
        <v>140</v>
      </c>
      <c r="AP7" s="4" t="s">
        <v>141</v>
      </c>
      <c r="AQ7" s="4" t="s">
        <v>142</v>
      </c>
      <c r="AR7" s="4" t="s">
        <v>143</v>
      </c>
    </row>
    <row r="8" spans="1:44" x14ac:dyDescent="0.2">
      <c r="A8" s="8" t="s">
        <v>168</v>
      </c>
      <c r="B8" s="8" t="s">
        <v>169</v>
      </c>
      <c r="C8" s="8" t="s">
        <v>170</v>
      </c>
      <c r="D8" s="8" t="s">
        <v>171</v>
      </c>
      <c r="E8" s="8" t="s">
        <v>962</v>
      </c>
      <c r="F8" s="5">
        <v>830</v>
      </c>
      <c r="G8" s="5"/>
      <c r="H8" s="12"/>
      <c r="I8" s="5" t="s">
        <v>785</v>
      </c>
      <c r="J8" s="5" t="s">
        <v>785</v>
      </c>
      <c r="K8" s="5">
        <v>684</v>
      </c>
      <c r="L8" s="5">
        <v>289</v>
      </c>
      <c r="M8" s="6" t="s">
        <v>776</v>
      </c>
      <c r="N8" s="6">
        <v>9.1999999999999998E-2</v>
      </c>
      <c r="O8" s="8" t="s">
        <v>133</v>
      </c>
      <c r="P8" s="8" t="s">
        <v>25</v>
      </c>
      <c r="Q8" s="8" t="s">
        <v>779</v>
      </c>
      <c r="R8" s="8" t="s">
        <v>25</v>
      </c>
      <c r="S8" s="8">
        <v>4</v>
      </c>
      <c r="T8" s="8">
        <v>4</v>
      </c>
      <c r="U8" s="8">
        <v>740</v>
      </c>
      <c r="V8" s="8">
        <v>792</v>
      </c>
      <c r="W8" s="8">
        <f t="shared" si="0"/>
        <v>892</v>
      </c>
      <c r="X8" s="4" t="s">
        <v>766</v>
      </c>
      <c r="Y8" s="4"/>
      <c r="Z8" s="4" t="s">
        <v>768</v>
      </c>
      <c r="AA8" s="4">
        <v>4</v>
      </c>
      <c r="AB8" s="7">
        <v>32.5</v>
      </c>
      <c r="AC8" s="7">
        <f t="shared" si="1"/>
        <v>0.29276641743987025</v>
      </c>
      <c r="AD8" s="7">
        <v>111.01</v>
      </c>
      <c r="AE8" s="9">
        <v>45987</v>
      </c>
      <c r="AF8" s="9">
        <v>45987</v>
      </c>
      <c r="AG8" s="10">
        <v>0.50225694444444446</v>
      </c>
      <c r="AH8" s="4" t="s">
        <v>26</v>
      </c>
      <c r="AI8" s="4" t="s">
        <v>134</v>
      </c>
      <c r="AJ8" s="4" t="s">
        <v>135</v>
      </c>
      <c r="AK8" s="4" t="s">
        <v>136</v>
      </c>
      <c r="AL8" s="4" t="s">
        <v>137</v>
      </c>
      <c r="AM8" s="4" t="s">
        <v>138</v>
      </c>
      <c r="AN8" s="4" t="s">
        <v>139</v>
      </c>
      <c r="AO8" s="4" t="s">
        <v>140</v>
      </c>
      <c r="AP8" s="4" t="s">
        <v>141</v>
      </c>
      <c r="AQ8" s="4" t="s">
        <v>142</v>
      </c>
      <c r="AR8" s="4" t="s">
        <v>143</v>
      </c>
    </row>
    <row r="9" spans="1:44" x14ac:dyDescent="0.2">
      <c r="A9" s="8" t="s">
        <v>176</v>
      </c>
      <c r="B9" s="8" t="s">
        <v>177</v>
      </c>
      <c r="C9" s="8" t="s">
        <v>178</v>
      </c>
      <c r="D9" s="8" t="s">
        <v>179</v>
      </c>
      <c r="E9" s="8" t="s">
        <v>962</v>
      </c>
      <c r="F9" s="14"/>
      <c r="G9" s="14"/>
      <c r="H9" s="15" t="s">
        <v>967</v>
      </c>
      <c r="I9" s="5" t="s">
        <v>785</v>
      </c>
      <c r="J9" s="5" t="s">
        <v>785</v>
      </c>
      <c r="K9" s="5">
        <v>684</v>
      </c>
      <c r="L9" s="5">
        <v>289</v>
      </c>
      <c r="M9" s="6" t="s">
        <v>776</v>
      </c>
      <c r="N9" s="6">
        <v>0.15</v>
      </c>
      <c r="O9" s="8" t="s">
        <v>133</v>
      </c>
      <c r="P9" s="8" t="s">
        <v>25</v>
      </c>
      <c r="Q9" s="8" t="s">
        <v>779</v>
      </c>
      <c r="R9" s="8" t="s">
        <v>25</v>
      </c>
      <c r="S9" s="8">
        <v>4</v>
      </c>
      <c r="T9" s="8">
        <v>4</v>
      </c>
      <c r="U9" s="8">
        <v>686</v>
      </c>
      <c r="V9" s="8">
        <v>726</v>
      </c>
      <c r="W9" s="8">
        <f t="shared" si="0"/>
        <v>826</v>
      </c>
      <c r="X9" s="4" t="s">
        <v>766</v>
      </c>
      <c r="Y9" s="4"/>
      <c r="Z9" s="4" t="s">
        <v>768</v>
      </c>
      <c r="AA9" s="4">
        <v>4</v>
      </c>
      <c r="AB9" s="7">
        <v>32.5</v>
      </c>
      <c r="AC9" s="7">
        <f t="shared" si="1"/>
        <v>0.29276641743987025</v>
      </c>
      <c r="AD9" s="7">
        <v>111.01</v>
      </c>
      <c r="AE9" s="9">
        <v>45987</v>
      </c>
      <c r="AF9" s="9">
        <v>45987</v>
      </c>
      <c r="AG9" s="10">
        <v>0.50124999999999997</v>
      </c>
      <c r="AH9" s="4" t="s">
        <v>26</v>
      </c>
      <c r="AI9" s="4" t="s">
        <v>134</v>
      </c>
      <c r="AJ9" s="4" t="s">
        <v>135</v>
      </c>
      <c r="AK9" s="4" t="s">
        <v>136</v>
      </c>
      <c r="AL9" s="4" t="s">
        <v>137</v>
      </c>
      <c r="AM9" s="4" t="s">
        <v>138</v>
      </c>
      <c r="AN9" s="4" t="s">
        <v>139</v>
      </c>
      <c r="AO9" s="4" t="s">
        <v>140</v>
      </c>
      <c r="AP9" s="4" t="s">
        <v>141</v>
      </c>
      <c r="AQ9" s="4" t="s">
        <v>142</v>
      </c>
      <c r="AR9" s="4" t="s">
        <v>143</v>
      </c>
    </row>
    <row r="10" spans="1:44" x14ac:dyDescent="0.2">
      <c r="A10" s="8" t="s">
        <v>180</v>
      </c>
      <c r="B10" s="8" t="s">
        <v>181</v>
      </c>
      <c r="C10" s="8" t="s">
        <v>182</v>
      </c>
      <c r="D10" s="8" t="s">
        <v>183</v>
      </c>
      <c r="E10" s="8" t="s">
        <v>962</v>
      </c>
      <c r="F10" s="5">
        <v>324</v>
      </c>
      <c r="G10" s="5"/>
      <c r="H10" s="12"/>
      <c r="I10" s="5" t="s">
        <v>785</v>
      </c>
      <c r="J10" s="5" t="s">
        <v>786</v>
      </c>
      <c r="K10" s="5">
        <v>684</v>
      </c>
      <c r="L10" s="5">
        <v>289</v>
      </c>
      <c r="M10" s="6" t="s">
        <v>776</v>
      </c>
      <c r="N10" s="6">
        <v>0.185</v>
      </c>
      <c r="O10" s="8" t="s">
        <v>133</v>
      </c>
      <c r="P10" s="8" t="s">
        <v>25</v>
      </c>
      <c r="Q10" s="8" t="s">
        <v>779</v>
      </c>
      <c r="R10" s="8" t="s">
        <v>25</v>
      </c>
      <c r="S10" s="8">
        <v>4</v>
      </c>
      <c r="T10" s="8">
        <v>4</v>
      </c>
      <c r="U10" s="8">
        <v>256</v>
      </c>
      <c r="V10" s="8">
        <v>297</v>
      </c>
      <c r="W10" s="8">
        <f t="shared" si="0"/>
        <v>397</v>
      </c>
      <c r="X10" s="4" t="s">
        <v>766</v>
      </c>
      <c r="Y10" s="4"/>
      <c r="Z10" s="4" t="s">
        <v>768</v>
      </c>
      <c r="AA10" s="4">
        <v>4</v>
      </c>
      <c r="AB10" s="7">
        <v>32.5</v>
      </c>
      <c r="AC10" s="7">
        <f t="shared" si="1"/>
        <v>0.29276641743987025</v>
      </c>
      <c r="AD10" s="7">
        <v>111.01</v>
      </c>
      <c r="AE10" s="9">
        <v>45987</v>
      </c>
      <c r="AF10" s="9">
        <v>45987</v>
      </c>
      <c r="AG10" s="10">
        <v>0.50087962962962962</v>
      </c>
      <c r="AH10" s="4" t="s">
        <v>26</v>
      </c>
      <c r="AI10" s="4" t="s">
        <v>134</v>
      </c>
      <c r="AJ10" s="4" t="s">
        <v>135</v>
      </c>
      <c r="AK10" s="4" t="s">
        <v>136</v>
      </c>
      <c r="AL10" s="4" t="s">
        <v>137</v>
      </c>
      <c r="AM10" s="4" t="s">
        <v>138</v>
      </c>
      <c r="AN10" s="4" t="s">
        <v>139</v>
      </c>
      <c r="AO10" s="4" t="s">
        <v>140</v>
      </c>
      <c r="AP10" s="4" t="s">
        <v>141</v>
      </c>
      <c r="AQ10" s="4" t="s">
        <v>142</v>
      </c>
      <c r="AR10" s="4" t="s">
        <v>143</v>
      </c>
    </row>
    <row r="11" spans="1:44" x14ac:dyDescent="0.2">
      <c r="A11" s="8" t="s">
        <v>493</v>
      </c>
      <c r="B11" s="8" t="s">
        <v>494</v>
      </c>
      <c r="C11" s="8" t="s">
        <v>495</v>
      </c>
      <c r="D11" s="8" t="s">
        <v>496</v>
      </c>
      <c r="E11" s="8" t="s">
        <v>962</v>
      </c>
      <c r="F11" s="5">
        <v>590</v>
      </c>
      <c r="G11" s="5"/>
      <c r="H11" s="12"/>
      <c r="I11" s="5" t="s">
        <v>785</v>
      </c>
      <c r="J11" s="5" t="s">
        <v>785</v>
      </c>
      <c r="K11" s="5">
        <v>1488</v>
      </c>
      <c r="L11" s="5">
        <v>373</v>
      </c>
      <c r="M11" s="6" t="s">
        <v>776</v>
      </c>
      <c r="N11" s="6">
        <v>4.4999999999999998E-2</v>
      </c>
      <c r="O11" s="8" t="s">
        <v>133</v>
      </c>
      <c r="P11" s="8" t="s">
        <v>41</v>
      </c>
      <c r="Q11" s="8" t="s">
        <v>780</v>
      </c>
      <c r="R11" s="8" t="s">
        <v>41</v>
      </c>
      <c r="S11" s="8">
        <v>2</v>
      </c>
      <c r="T11" s="8">
        <v>2</v>
      </c>
      <c r="U11" s="8">
        <v>531</v>
      </c>
      <c r="V11" s="8">
        <v>564</v>
      </c>
      <c r="W11" s="8">
        <f t="shared" si="0"/>
        <v>664</v>
      </c>
      <c r="X11" s="4" t="s">
        <v>767</v>
      </c>
      <c r="Y11" s="4"/>
      <c r="Z11" s="4" t="s">
        <v>768</v>
      </c>
      <c r="AA11" s="4">
        <v>5</v>
      </c>
      <c r="AB11" s="7">
        <v>32.5</v>
      </c>
      <c r="AC11" s="7">
        <f t="shared" si="1"/>
        <v>0.3186243272124783</v>
      </c>
      <c r="AD11" s="7">
        <v>102.001</v>
      </c>
      <c r="AE11" s="9">
        <v>45987</v>
      </c>
      <c r="AF11" s="9">
        <v>45987</v>
      </c>
      <c r="AG11" s="10">
        <v>0.53341435185185182</v>
      </c>
      <c r="AH11" s="4" t="s">
        <v>188</v>
      </c>
      <c r="AI11" s="4" t="s">
        <v>134</v>
      </c>
      <c r="AJ11" s="4" t="s">
        <v>135</v>
      </c>
      <c r="AK11" s="4" t="s">
        <v>136</v>
      </c>
      <c r="AL11" s="4" t="s">
        <v>137</v>
      </c>
      <c r="AM11" s="4" t="s">
        <v>138</v>
      </c>
      <c r="AN11" s="4" t="s">
        <v>139</v>
      </c>
      <c r="AO11" s="4" t="s">
        <v>140</v>
      </c>
      <c r="AP11" s="4" t="s">
        <v>141</v>
      </c>
      <c r="AQ11" s="4" t="s">
        <v>142</v>
      </c>
      <c r="AR11" s="4" t="s">
        <v>143</v>
      </c>
    </row>
    <row r="12" spans="1:44" x14ac:dyDescent="0.2">
      <c r="A12" s="8" t="s">
        <v>497</v>
      </c>
      <c r="B12" s="8" t="s">
        <v>498</v>
      </c>
      <c r="C12" s="8" t="s">
        <v>499</v>
      </c>
      <c r="D12" s="8" t="s">
        <v>500</v>
      </c>
      <c r="E12" s="8" t="s">
        <v>962</v>
      </c>
      <c r="F12" s="5">
        <v>300</v>
      </c>
      <c r="G12" s="5"/>
      <c r="H12" s="12"/>
      <c r="I12" s="5" t="s">
        <v>785</v>
      </c>
      <c r="J12" s="5" t="s">
        <v>785</v>
      </c>
      <c r="K12" s="5">
        <v>1488</v>
      </c>
      <c r="L12" s="5">
        <v>373</v>
      </c>
      <c r="M12" s="6" t="s">
        <v>776</v>
      </c>
      <c r="N12" s="6">
        <v>0.13800000000000001</v>
      </c>
      <c r="O12" s="8" t="s">
        <v>133</v>
      </c>
      <c r="P12" s="8" t="s">
        <v>41</v>
      </c>
      <c r="Q12" s="8" t="s">
        <v>780</v>
      </c>
      <c r="R12" s="8" t="s">
        <v>41</v>
      </c>
      <c r="S12" s="8">
        <v>2</v>
      </c>
      <c r="T12" s="8">
        <v>2</v>
      </c>
      <c r="U12" s="8">
        <v>160</v>
      </c>
      <c r="V12" s="8">
        <v>266</v>
      </c>
      <c r="W12" s="8">
        <f t="shared" si="0"/>
        <v>366</v>
      </c>
      <c r="X12" s="4" t="s">
        <v>767</v>
      </c>
      <c r="Y12" s="4"/>
      <c r="Z12" s="4" t="s">
        <v>768</v>
      </c>
      <c r="AA12" s="4">
        <v>5</v>
      </c>
      <c r="AB12" s="7">
        <v>32.5</v>
      </c>
      <c r="AC12" s="7">
        <f t="shared" si="1"/>
        <v>0.3186243272124783</v>
      </c>
      <c r="AD12" s="7">
        <v>102.001</v>
      </c>
      <c r="AE12" s="9">
        <v>45987</v>
      </c>
      <c r="AF12" s="9">
        <v>45987</v>
      </c>
      <c r="AG12" s="10">
        <v>0.53313657407407411</v>
      </c>
      <c r="AH12" s="4" t="s">
        <v>188</v>
      </c>
      <c r="AI12" s="4" t="s">
        <v>134</v>
      </c>
      <c r="AJ12" s="4" t="s">
        <v>135</v>
      </c>
      <c r="AK12" s="4" t="s">
        <v>136</v>
      </c>
      <c r="AL12" s="4" t="s">
        <v>137</v>
      </c>
      <c r="AM12" s="4" t="s">
        <v>138</v>
      </c>
      <c r="AN12" s="4" t="s">
        <v>139</v>
      </c>
      <c r="AO12" s="4" t="s">
        <v>140</v>
      </c>
      <c r="AP12" s="4" t="s">
        <v>141</v>
      </c>
      <c r="AQ12" s="4" t="s">
        <v>142</v>
      </c>
      <c r="AR12" s="4" t="s">
        <v>143</v>
      </c>
    </row>
    <row r="13" spans="1:44" x14ac:dyDescent="0.2">
      <c r="A13" s="8" t="s">
        <v>501</v>
      </c>
      <c r="B13" s="8" t="s">
        <v>502</v>
      </c>
      <c r="C13" s="8" t="s">
        <v>503</v>
      </c>
      <c r="D13" s="8" t="s">
        <v>504</v>
      </c>
      <c r="E13" s="8" t="s">
        <v>962</v>
      </c>
      <c r="F13" s="14"/>
      <c r="G13" s="14"/>
      <c r="H13" s="15" t="s">
        <v>967</v>
      </c>
      <c r="I13" s="5" t="s">
        <v>785</v>
      </c>
      <c r="J13" s="5" t="s">
        <v>785</v>
      </c>
      <c r="K13" s="5">
        <v>1488</v>
      </c>
      <c r="L13" s="5">
        <v>373</v>
      </c>
      <c r="M13" s="6" t="s">
        <v>776</v>
      </c>
      <c r="N13" s="6">
        <v>0.04</v>
      </c>
      <c r="O13" s="8" t="s">
        <v>133</v>
      </c>
      <c r="P13" s="8" t="s">
        <v>41</v>
      </c>
      <c r="Q13" s="8" t="s">
        <v>780</v>
      </c>
      <c r="R13" s="8" t="s">
        <v>41</v>
      </c>
      <c r="S13" s="8">
        <v>2</v>
      </c>
      <c r="T13" s="8">
        <v>2</v>
      </c>
      <c r="U13" s="8">
        <v>367</v>
      </c>
      <c r="V13" s="8">
        <v>391</v>
      </c>
      <c r="W13" s="8">
        <f t="shared" si="0"/>
        <v>491</v>
      </c>
      <c r="X13" s="4" t="s">
        <v>767</v>
      </c>
      <c r="Y13" s="4"/>
      <c r="Z13" s="4" t="s">
        <v>768</v>
      </c>
      <c r="AA13" s="4">
        <v>5</v>
      </c>
      <c r="AB13" s="7">
        <v>32.5</v>
      </c>
      <c r="AC13" s="7">
        <f t="shared" si="1"/>
        <v>0.3186243272124783</v>
      </c>
      <c r="AD13" s="7">
        <v>102.001</v>
      </c>
      <c r="AE13" s="9">
        <v>45987</v>
      </c>
      <c r="AF13" s="9">
        <v>45987</v>
      </c>
      <c r="AG13" s="10">
        <v>0.5329976851851852</v>
      </c>
      <c r="AH13" s="4" t="s">
        <v>188</v>
      </c>
      <c r="AI13" s="4" t="s">
        <v>134</v>
      </c>
      <c r="AJ13" s="4" t="s">
        <v>135</v>
      </c>
      <c r="AK13" s="4" t="s">
        <v>136</v>
      </c>
      <c r="AL13" s="4" t="s">
        <v>137</v>
      </c>
      <c r="AM13" s="4" t="s">
        <v>138</v>
      </c>
      <c r="AN13" s="4" t="s">
        <v>139</v>
      </c>
      <c r="AO13" s="4" t="s">
        <v>140</v>
      </c>
      <c r="AP13" s="4" t="s">
        <v>141</v>
      </c>
      <c r="AQ13" s="4" t="s">
        <v>142</v>
      </c>
      <c r="AR13" s="4" t="s">
        <v>143</v>
      </c>
    </row>
    <row r="14" spans="1:44" x14ac:dyDescent="0.2">
      <c r="A14" s="8" t="s">
        <v>505</v>
      </c>
      <c r="B14" s="8" t="s">
        <v>506</v>
      </c>
      <c r="C14" s="8" t="s">
        <v>507</v>
      </c>
      <c r="D14" s="8" t="s">
        <v>508</v>
      </c>
      <c r="E14" s="8" t="s">
        <v>962</v>
      </c>
      <c r="F14" s="14">
        <v>559</v>
      </c>
      <c r="G14" s="14"/>
      <c r="H14" s="15" t="s">
        <v>967</v>
      </c>
      <c r="I14" s="5" t="s">
        <v>785</v>
      </c>
      <c r="J14" s="5" t="s">
        <v>785</v>
      </c>
      <c r="K14" s="5">
        <v>1488</v>
      </c>
      <c r="L14" s="5">
        <v>373</v>
      </c>
      <c r="M14" s="6" t="s">
        <v>776</v>
      </c>
      <c r="N14" s="6">
        <v>9.8000000000000004E-2</v>
      </c>
      <c r="O14" s="8" t="s">
        <v>133</v>
      </c>
      <c r="P14" s="8" t="s">
        <v>41</v>
      </c>
      <c r="Q14" s="8" t="s">
        <v>780</v>
      </c>
      <c r="R14" s="8" t="s">
        <v>41</v>
      </c>
      <c r="S14" s="8">
        <v>2</v>
      </c>
      <c r="T14" s="8">
        <v>2</v>
      </c>
      <c r="U14" s="8">
        <v>464</v>
      </c>
      <c r="V14" s="8">
        <v>519</v>
      </c>
      <c r="W14" s="8">
        <f t="shared" si="0"/>
        <v>619</v>
      </c>
      <c r="X14" s="4" t="s">
        <v>767</v>
      </c>
      <c r="Y14" s="4"/>
      <c r="Z14" s="4" t="s">
        <v>768</v>
      </c>
      <c r="AA14" s="4">
        <v>5</v>
      </c>
      <c r="AB14" s="7">
        <v>32.5</v>
      </c>
      <c r="AC14" s="7">
        <f t="shared" si="1"/>
        <v>0.3186243272124783</v>
      </c>
      <c r="AD14" s="7">
        <v>102.001</v>
      </c>
      <c r="AE14" s="9">
        <v>45987</v>
      </c>
      <c r="AF14" s="9">
        <v>45987</v>
      </c>
      <c r="AG14" s="10">
        <v>0.53284722222222225</v>
      </c>
      <c r="AH14" s="4" t="s">
        <v>188</v>
      </c>
      <c r="AI14" s="4" t="s">
        <v>134</v>
      </c>
      <c r="AJ14" s="4" t="s">
        <v>135</v>
      </c>
      <c r="AK14" s="4" t="s">
        <v>136</v>
      </c>
      <c r="AL14" s="4" t="s">
        <v>137</v>
      </c>
      <c r="AM14" s="4" t="s">
        <v>138</v>
      </c>
      <c r="AN14" s="4" t="s">
        <v>139</v>
      </c>
      <c r="AO14" s="4" t="s">
        <v>140</v>
      </c>
      <c r="AP14" s="4" t="s">
        <v>141</v>
      </c>
      <c r="AQ14" s="4" t="s">
        <v>142</v>
      </c>
      <c r="AR14" s="4" t="s">
        <v>143</v>
      </c>
    </row>
    <row r="15" spans="1:44" x14ac:dyDescent="0.2">
      <c r="A15" s="8" t="s">
        <v>509</v>
      </c>
      <c r="B15" s="8" t="s">
        <v>510</v>
      </c>
      <c r="C15" s="8" t="s">
        <v>511</v>
      </c>
      <c r="D15" s="8" t="s">
        <v>512</v>
      </c>
      <c r="E15" s="8" t="s">
        <v>962</v>
      </c>
      <c r="F15" s="5">
        <v>452</v>
      </c>
      <c r="G15" s="5"/>
      <c r="H15" s="12"/>
      <c r="I15" s="5" t="s">
        <v>785</v>
      </c>
      <c r="J15" s="5" t="s">
        <v>786</v>
      </c>
      <c r="K15" s="5">
        <v>1488</v>
      </c>
      <c r="L15" s="5">
        <v>373</v>
      </c>
      <c r="M15" s="6" t="s">
        <v>776</v>
      </c>
      <c r="N15" s="6">
        <v>9.6000000000000002E-2</v>
      </c>
      <c r="O15" s="8" t="s">
        <v>133</v>
      </c>
      <c r="P15" s="8" t="s">
        <v>41</v>
      </c>
      <c r="Q15" s="8" t="s">
        <v>780</v>
      </c>
      <c r="R15" s="8" t="s">
        <v>41</v>
      </c>
      <c r="S15" s="8">
        <v>2</v>
      </c>
      <c r="T15" s="8">
        <v>2</v>
      </c>
      <c r="U15" s="8">
        <v>358</v>
      </c>
      <c r="V15" s="8">
        <v>427</v>
      </c>
      <c r="W15" s="8">
        <f t="shared" si="0"/>
        <v>527</v>
      </c>
      <c r="X15" s="4" t="s">
        <v>767</v>
      </c>
      <c r="Y15" s="4"/>
      <c r="Z15" s="4" t="s">
        <v>768</v>
      </c>
      <c r="AA15" s="4">
        <v>5</v>
      </c>
      <c r="AB15" s="7">
        <v>32.5</v>
      </c>
      <c r="AC15" s="7">
        <f t="shared" si="1"/>
        <v>0.3186243272124783</v>
      </c>
      <c r="AD15" s="7">
        <v>102.001</v>
      </c>
      <c r="AE15" s="9">
        <v>45987</v>
      </c>
      <c r="AF15" s="9">
        <v>45987</v>
      </c>
      <c r="AG15" s="10">
        <v>0.53252314814814816</v>
      </c>
      <c r="AH15" s="4" t="s">
        <v>188</v>
      </c>
      <c r="AI15" s="4" t="s">
        <v>134</v>
      </c>
      <c r="AJ15" s="4" t="s">
        <v>135</v>
      </c>
      <c r="AK15" s="4" t="s">
        <v>136</v>
      </c>
      <c r="AL15" s="4" t="s">
        <v>137</v>
      </c>
      <c r="AM15" s="4" t="s">
        <v>138</v>
      </c>
      <c r="AN15" s="4" t="s">
        <v>139</v>
      </c>
      <c r="AO15" s="4" t="s">
        <v>140</v>
      </c>
      <c r="AP15" s="4" t="s">
        <v>141</v>
      </c>
      <c r="AQ15" s="4" t="s">
        <v>142</v>
      </c>
      <c r="AR15" s="4" t="s">
        <v>143</v>
      </c>
    </row>
    <row r="16" spans="1:44" x14ac:dyDescent="0.2">
      <c r="A16" s="8" t="s">
        <v>513</v>
      </c>
      <c r="B16" s="8" t="s">
        <v>514</v>
      </c>
      <c r="C16" s="8" t="s">
        <v>515</v>
      </c>
      <c r="D16" s="8" t="s">
        <v>516</v>
      </c>
      <c r="E16" s="8" t="s">
        <v>962</v>
      </c>
      <c r="F16" s="5">
        <v>362</v>
      </c>
      <c r="G16" s="5"/>
      <c r="H16" s="12"/>
      <c r="I16" s="5" t="s">
        <v>785</v>
      </c>
      <c r="J16" s="5" t="s">
        <v>785</v>
      </c>
      <c r="K16" s="5">
        <v>1488</v>
      </c>
      <c r="L16" s="5">
        <v>373</v>
      </c>
      <c r="M16" s="6" t="s">
        <v>776</v>
      </c>
      <c r="N16" s="6">
        <v>7.0999999999999994E-2</v>
      </c>
      <c r="O16" s="8" t="s">
        <v>133</v>
      </c>
      <c r="P16" s="8" t="s">
        <v>41</v>
      </c>
      <c r="Q16" s="8" t="s">
        <v>780</v>
      </c>
      <c r="R16" s="8" t="s">
        <v>41</v>
      </c>
      <c r="S16" s="8">
        <v>2</v>
      </c>
      <c r="T16" s="8">
        <v>2</v>
      </c>
      <c r="U16" s="8">
        <v>306</v>
      </c>
      <c r="V16" s="8">
        <v>336</v>
      </c>
      <c r="W16" s="8">
        <f t="shared" si="0"/>
        <v>436</v>
      </c>
      <c r="X16" s="4" t="s">
        <v>767</v>
      </c>
      <c r="Y16" s="4"/>
      <c r="Z16" s="4" t="s">
        <v>768</v>
      </c>
      <c r="AA16" s="4">
        <v>5</v>
      </c>
      <c r="AB16" s="7">
        <v>32.5</v>
      </c>
      <c r="AC16" s="7">
        <f t="shared" si="1"/>
        <v>0.3186243272124783</v>
      </c>
      <c r="AD16" s="7">
        <v>102.001</v>
      </c>
      <c r="AE16" s="9">
        <v>45987</v>
      </c>
      <c r="AF16" s="9">
        <v>45987</v>
      </c>
      <c r="AG16" s="10">
        <v>0.53361111111111115</v>
      </c>
      <c r="AH16" s="4" t="s">
        <v>188</v>
      </c>
      <c r="AI16" s="4" t="s">
        <v>134</v>
      </c>
      <c r="AJ16" s="4" t="s">
        <v>135</v>
      </c>
      <c r="AK16" s="4" t="s">
        <v>136</v>
      </c>
      <c r="AL16" s="4" t="s">
        <v>137</v>
      </c>
      <c r="AM16" s="4" t="s">
        <v>138</v>
      </c>
      <c r="AN16" s="4" t="s">
        <v>139</v>
      </c>
      <c r="AO16" s="4" t="s">
        <v>140</v>
      </c>
      <c r="AP16" s="4" t="s">
        <v>141</v>
      </c>
      <c r="AQ16" s="4" t="s">
        <v>142</v>
      </c>
      <c r="AR16" s="4" t="s">
        <v>143</v>
      </c>
    </row>
    <row r="17" spans="1:44" x14ac:dyDescent="0.2">
      <c r="A17" s="8" t="s">
        <v>537</v>
      </c>
      <c r="B17" s="8" t="s">
        <v>538</v>
      </c>
      <c r="C17" s="8" t="s">
        <v>539</v>
      </c>
      <c r="D17" s="8" t="s">
        <v>540</v>
      </c>
      <c r="E17" s="8" t="s">
        <v>962</v>
      </c>
      <c r="F17" s="5">
        <v>511</v>
      </c>
      <c r="G17" s="5"/>
      <c r="H17" s="12"/>
      <c r="I17" s="5" t="s">
        <v>785</v>
      </c>
      <c r="J17" s="5" t="s">
        <v>786</v>
      </c>
      <c r="K17" s="5">
        <v>1488</v>
      </c>
      <c r="L17" s="5">
        <v>373</v>
      </c>
      <c r="M17" s="6" t="s">
        <v>776</v>
      </c>
      <c r="N17" s="6">
        <v>8.8999999999999996E-2</v>
      </c>
      <c r="O17" s="8" t="s">
        <v>133</v>
      </c>
      <c r="P17" s="8" t="s">
        <v>41</v>
      </c>
      <c r="Q17" s="8" t="s">
        <v>780</v>
      </c>
      <c r="R17" s="8" t="s">
        <v>41</v>
      </c>
      <c r="S17" s="8">
        <v>2</v>
      </c>
      <c r="T17" s="8">
        <v>2</v>
      </c>
      <c r="U17" s="8">
        <v>462</v>
      </c>
      <c r="V17" s="8">
        <v>494</v>
      </c>
      <c r="W17" s="8">
        <f t="shared" si="0"/>
        <v>594</v>
      </c>
      <c r="X17" s="4" t="s">
        <v>767</v>
      </c>
      <c r="Y17" s="4"/>
      <c r="Z17" s="4" t="s">
        <v>768</v>
      </c>
      <c r="AA17" s="4">
        <v>5</v>
      </c>
      <c r="AB17" s="7">
        <v>32.5</v>
      </c>
      <c r="AC17" s="7">
        <f t="shared" si="1"/>
        <v>0.3186243272124783</v>
      </c>
      <c r="AD17" s="7">
        <v>102.001</v>
      </c>
      <c r="AE17" s="9">
        <v>45987</v>
      </c>
      <c r="AF17" s="9">
        <v>45987</v>
      </c>
      <c r="AG17" s="10">
        <v>0.53743055555555552</v>
      </c>
      <c r="AH17" s="4" t="s">
        <v>188</v>
      </c>
      <c r="AI17" s="4" t="s">
        <v>134</v>
      </c>
      <c r="AJ17" s="4" t="s">
        <v>135</v>
      </c>
      <c r="AK17" s="4" t="s">
        <v>136</v>
      </c>
      <c r="AL17" s="4" t="s">
        <v>137</v>
      </c>
      <c r="AM17" s="4" t="s">
        <v>138</v>
      </c>
      <c r="AN17" s="4" t="s">
        <v>139</v>
      </c>
      <c r="AO17" s="4" t="s">
        <v>140</v>
      </c>
      <c r="AP17" s="4" t="s">
        <v>141</v>
      </c>
      <c r="AQ17" s="4" t="s">
        <v>142</v>
      </c>
      <c r="AR17" s="4" t="s">
        <v>143</v>
      </c>
    </row>
    <row r="18" spans="1:44" x14ac:dyDescent="0.2">
      <c r="A18" s="8" t="s">
        <v>541</v>
      </c>
      <c r="B18" s="8" t="s">
        <v>542</v>
      </c>
      <c r="C18" s="8" t="s">
        <v>543</v>
      </c>
      <c r="D18" s="8" t="s">
        <v>544</v>
      </c>
      <c r="E18" s="8" t="s">
        <v>962</v>
      </c>
      <c r="F18" s="5">
        <v>526</v>
      </c>
      <c r="G18" s="5"/>
      <c r="H18" s="12"/>
      <c r="I18" s="5" t="s">
        <v>785</v>
      </c>
      <c r="J18" s="5" t="s">
        <v>786</v>
      </c>
      <c r="K18" s="5">
        <v>1488</v>
      </c>
      <c r="L18" s="5">
        <v>373</v>
      </c>
      <c r="M18" s="6" t="s">
        <v>776</v>
      </c>
      <c r="N18" s="6">
        <v>9.1999999999999998E-2</v>
      </c>
      <c r="O18" s="8" t="s">
        <v>133</v>
      </c>
      <c r="P18" s="8" t="s">
        <v>41</v>
      </c>
      <c r="Q18" s="8" t="s">
        <v>780</v>
      </c>
      <c r="R18" s="8" t="s">
        <v>41</v>
      </c>
      <c r="S18" s="8">
        <v>2</v>
      </c>
      <c r="T18" s="8">
        <v>2</v>
      </c>
      <c r="U18" s="8">
        <v>455</v>
      </c>
      <c r="V18" s="8">
        <v>510</v>
      </c>
      <c r="W18" s="8">
        <f t="shared" si="0"/>
        <v>610</v>
      </c>
      <c r="X18" s="4" t="s">
        <v>767</v>
      </c>
      <c r="Y18" s="4"/>
      <c r="Z18" s="4" t="s">
        <v>768</v>
      </c>
      <c r="AA18" s="4">
        <v>5</v>
      </c>
      <c r="AB18" s="7">
        <v>32.5</v>
      </c>
      <c r="AC18" s="7">
        <f t="shared" si="1"/>
        <v>0.3186243272124783</v>
      </c>
      <c r="AD18" s="7">
        <v>102.001</v>
      </c>
      <c r="AE18" s="9">
        <v>45987</v>
      </c>
      <c r="AF18" s="9">
        <v>45987</v>
      </c>
      <c r="AG18" s="10">
        <v>0.53693287037037041</v>
      </c>
      <c r="AH18" s="4" t="s">
        <v>188</v>
      </c>
      <c r="AI18" s="4" t="s">
        <v>134</v>
      </c>
      <c r="AJ18" s="4" t="s">
        <v>135</v>
      </c>
      <c r="AK18" s="4" t="s">
        <v>136</v>
      </c>
      <c r="AL18" s="4" t="s">
        <v>137</v>
      </c>
      <c r="AM18" s="4" t="s">
        <v>138</v>
      </c>
      <c r="AN18" s="4" t="s">
        <v>139</v>
      </c>
      <c r="AO18" s="4" t="s">
        <v>140</v>
      </c>
      <c r="AP18" s="4" t="s">
        <v>141</v>
      </c>
      <c r="AQ18" s="4" t="s">
        <v>142</v>
      </c>
      <c r="AR18" s="4" t="s">
        <v>143</v>
      </c>
    </row>
    <row r="19" spans="1:44" x14ac:dyDescent="0.2">
      <c r="A19" s="8" t="s">
        <v>545</v>
      </c>
      <c r="B19" s="8" t="s">
        <v>546</v>
      </c>
      <c r="C19" s="8" t="s">
        <v>547</v>
      </c>
      <c r="D19" s="8" t="s">
        <v>548</v>
      </c>
      <c r="E19" s="8" t="s">
        <v>962</v>
      </c>
      <c r="F19" s="5">
        <v>533</v>
      </c>
      <c r="G19" s="5"/>
      <c r="H19" s="12"/>
      <c r="I19" s="5" t="s">
        <v>785</v>
      </c>
      <c r="J19" s="5" t="s">
        <v>786</v>
      </c>
      <c r="K19" s="5">
        <v>1488</v>
      </c>
      <c r="L19" s="5">
        <v>373</v>
      </c>
      <c r="M19" s="6" t="s">
        <v>776</v>
      </c>
      <c r="N19" s="6">
        <v>7.8E-2</v>
      </c>
      <c r="O19" s="8" t="s">
        <v>133</v>
      </c>
      <c r="P19" s="8" t="s">
        <v>41</v>
      </c>
      <c r="Q19" s="8" t="s">
        <v>780</v>
      </c>
      <c r="R19" s="8" t="s">
        <v>41</v>
      </c>
      <c r="S19" s="8">
        <v>2</v>
      </c>
      <c r="T19" s="8">
        <v>2</v>
      </c>
      <c r="U19" s="8">
        <v>420</v>
      </c>
      <c r="V19" s="8">
        <v>511</v>
      </c>
      <c r="W19" s="8">
        <f t="shared" si="0"/>
        <v>611</v>
      </c>
      <c r="X19" s="4" t="s">
        <v>767</v>
      </c>
      <c r="Y19" s="4"/>
      <c r="Z19" s="4" t="s">
        <v>768</v>
      </c>
      <c r="AA19" s="4">
        <v>5</v>
      </c>
      <c r="AB19" s="7">
        <v>32.5</v>
      </c>
      <c r="AC19" s="7">
        <f t="shared" si="1"/>
        <v>0.3186243272124783</v>
      </c>
      <c r="AD19" s="7">
        <v>102.001</v>
      </c>
      <c r="AE19" s="9">
        <v>45987</v>
      </c>
      <c r="AF19" s="9">
        <v>45987</v>
      </c>
      <c r="AG19" s="10">
        <v>0.53660879629629632</v>
      </c>
      <c r="AH19" s="4" t="s">
        <v>188</v>
      </c>
      <c r="AI19" s="4" t="s">
        <v>134</v>
      </c>
      <c r="AJ19" s="4" t="s">
        <v>135</v>
      </c>
      <c r="AK19" s="4" t="s">
        <v>136</v>
      </c>
      <c r="AL19" s="4" t="s">
        <v>137</v>
      </c>
      <c r="AM19" s="4" t="s">
        <v>138</v>
      </c>
      <c r="AN19" s="4" t="s">
        <v>139</v>
      </c>
      <c r="AO19" s="4" t="s">
        <v>140</v>
      </c>
      <c r="AP19" s="4" t="s">
        <v>141</v>
      </c>
      <c r="AQ19" s="4" t="s">
        <v>142</v>
      </c>
      <c r="AR19" s="4" t="s">
        <v>143</v>
      </c>
    </row>
    <row r="20" spans="1:44" x14ac:dyDescent="0.2">
      <c r="A20" s="8" t="s">
        <v>549</v>
      </c>
      <c r="B20" s="8" t="s">
        <v>550</v>
      </c>
      <c r="C20" s="8" t="s">
        <v>551</v>
      </c>
      <c r="D20" s="8" t="s">
        <v>552</v>
      </c>
      <c r="E20" s="8" t="s">
        <v>962</v>
      </c>
      <c r="F20" s="14"/>
      <c r="G20" s="14"/>
      <c r="H20" s="15" t="s">
        <v>967</v>
      </c>
      <c r="I20" s="5" t="s">
        <v>785</v>
      </c>
      <c r="J20" s="5" t="s">
        <v>786</v>
      </c>
      <c r="K20" s="5">
        <v>1488</v>
      </c>
      <c r="L20" s="5">
        <v>373</v>
      </c>
      <c r="M20" s="6" t="s">
        <v>776</v>
      </c>
      <c r="N20" s="6">
        <v>0.05</v>
      </c>
      <c r="O20" s="8" t="s">
        <v>133</v>
      </c>
      <c r="P20" s="8" t="s">
        <v>41</v>
      </c>
      <c r="Q20" s="8" t="s">
        <v>780</v>
      </c>
      <c r="R20" s="8" t="s">
        <v>41</v>
      </c>
      <c r="S20" s="8">
        <v>2</v>
      </c>
      <c r="T20" s="8">
        <v>2</v>
      </c>
      <c r="U20" s="8">
        <v>375</v>
      </c>
      <c r="V20" s="8">
        <v>542</v>
      </c>
      <c r="W20" s="8">
        <f t="shared" si="0"/>
        <v>642</v>
      </c>
      <c r="X20" s="4" t="s">
        <v>767</v>
      </c>
      <c r="Y20" s="4"/>
      <c r="Z20" s="4" t="s">
        <v>768</v>
      </c>
      <c r="AA20" s="4">
        <v>5</v>
      </c>
      <c r="AB20" s="7">
        <v>32.5</v>
      </c>
      <c r="AC20" s="7">
        <f t="shared" si="1"/>
        <v>0.3186243272124783</v>
      </c>
      <c r="AD20" s="7">
        <v>102.001</v>
      </c>
      <c r="AE20" s="9">
        <v>45987</v>
      </c>
      <c r="AF20" s="9">
        <v>45987</v>
      </c>
      <c r="AG20" s="10">
        <v>0.53645833333333337</v>
      </c>
      <c r="AH20" s="4" t="s">
        <v>188</v>
      </c>
      <c r="AI20" s="4" t="s">
        <v>134</v>
      </c>
      <c r="AJ20" s="4" t="s">
        <v>135</v>
      </c>
      <c r="AK20" s="4" t="s">
        <v>136</v>
      </c>
      <c r="AL20" s="4" t="s">
        <v>137</v>
      </c>
      <c r="AM20" s="4" t="s">
        <v>138</v>
      </c>
      <c r="AN20" s="4" t="s">
        <v>139</v>
      </c>
      <c r="AO20" s="4" t="s">
        <v>140</v>
      </c>
      <c r="AP20" s="4" t="s">
        <v>141</v>
      </c>
      <c r="AQ20" s="4" t="s">
        <v>142</v>
      </c>
      <c r="AR20" s="4" t="s">
        <v>143</v>
      </c>
    </row>
    <row r="21" spans="1:44" x14ac:dyDescent="0.2">
      <c r="A21" s="8" t="s">
        <v>553</v>
      </c>
      <c r="B21" s="8" t="s">
        <v>554</v>
      </c>
      <c r="C21" s="8" t="s">
        <v>555</v>
      </c>
      <c r="D21" s="8" t="s">
        <v>556</v>
      </c>
      <c r="E21" s="8" t="s">
        <v>962</v>
      </c>
      <c r="F21" s="5">
        <v>531</v>
      </c>
      <c r="G21" s="5"/>
      <c r="H21" s="12"/>
      <c r="I21" s="5" t="s">
        <v>785</v>
      </c>
      <c r="J21" s="5" t="s">
        <v>786</v>
      </c>
      <c r="K21" s="5">
        <v>1488</v>
      </c>
      <c r="L21" s="5">
        <v>373</v>
      </c>
      <c r="M21" s="6" t="s">
        <v>776</v>
      </c>
      <c r="N21" s="6">
        <v>9.5000000000000001E-2</v>
      </c>
      <c r="O21" s="8" t="s">
        <v>133</v>
      </c>
      <c r="P21" s="8" t="s">
        <v>41</v>
      </c>
      <c r="Q21" s="8" t="s">
        <v>780</v>
      </c>
      <c r="R21" s="8" t="s">
        <v>41</v>
      </c>
      <c r="S21" s="8">
        <v>2</v>
      </c>
      <c r="T21" s="8">
        <v>2</v>
      </c>
      <c r="U21" s="8">
        <v>495</v>
      </c>
      <c r="V21" s="8">
        <v>517</v>
      </c>
      <c r="W21" s="8">
        <f t="shared" si="0"/>
        <v>617</v>
      </c>
      <c r="X21" s="4" t="s">
        <v>767</v>
      </c>
      <c r="Y21" s="4"/>
      <c r="Z21" s="4" t="s">
        <v>768</v>
      </c>
      <c r="AA21" s="4">
        <v>5</v>
      </c>
      <c r="AB21" s="7">
        <v>32.5</v>
      </c>
      <c r="AC21" s="7">
        <f t="shared" si="1"/>
        <v>0.3186243272124783</v>
      </c>
      <c r="AD21" s="7">
        <v>102.001</v>
      </c>
      <c r="AE21" s="9">
        <v>45987</v>
      </c>
      <c r="AF21" s="9">
        <v>45987</v>
      </c>
      <c r="AG21" s="10">
        <v>0.5358680555555555</v>
      </c>
      <c r="AH21" s="4" t="s">
        <v>188</v>
      </c>
      <c r="AI21" s="4" t="s">
        <v>134</v>
      </c>
      <c r="AJ21" s="4" t="s">
        <v>135</v>
      </c>
      <c r="AK21" s="4" t="s">
        <v>136</v>
      </c>
      <c r="AL21" s="4" t="s">
        <v>137</v>
      </c>
      <c r="AM21" s="4" t="s">
        <v>138</v>
      </c>
      <c r="AN21" s="4" t="s">
        <v>139</v>
      </c>
      <c r="AO21" s="4" t="s">
        <v>140</v>
      </c>
      <c r="AP21" s="4" t="s">
        <v>141</v>
      </c>
      <c r="AQ21" s="4" t="s">
        <v>142</v>
      </c>
      <c r="AR21" s="4" t="s">
        <v>143</v>
      </c>
    </row>
    <row r="22" spans="1:44" x14ac:dyDescent="0.2">
      <c r="A22" s="8" t="s">
        <v>557</v>
      </c>
      <c r="B22" s="8" t="s">
        <v>558</v>
      </c>
      <c r="C22" s="8" t="s">
        <v>559</v>
      </c>
      <c r="D22" s="8" t="s">
        <v>560</v>
      </c>
      <c r="E22" s="8" t="s">
        <v>962</v>
      </c>
      <c r="F22" s="5">
        <v>605</v>
      </c>
      <c r="G22" s="5"/>
      <c r="H22" s="12"/>
      <c r="I22" s="5" t="s">
        <v>785</v>
      </c>
      <c r="J22" s="5" t="s">
        <v>786</v>
      </c>
      <c r="K22" s="5">
        <v>1488</v>
      </c>
      <c r="L22" s="5">
        <v>373</v>
      </c>
      <c r="M22" s="6" t="s">
        <v>776</v>
      </c>
      <c r="N22" s="6">
        <v>3.6999999999999998E-2</v>
      </c>
      <c r="O22" s="8" t="s">
        <v>133</v>
      </c>
      <c r="P22" s="8" t="s">
        <v>41</v>
      </c>
      <c r="Q22" s="8" t="s">
        <v>780</v>
      </c>
      <c r="R22" s="8" t="s">
        <v>41</v>
      </c>
      <c r="S22" s="8">
        <v>2</v>
      </c>
      <c r="T22" s="8">
        <v>2</v>
      </c>
      <c r="U22" s="8">
        <v>396</v>
      </c>
      <c r="V22" s="8">
        <v>585</v>
      </c>
      <c r="W22" s="8">
        <f t="shared" si="0"/>
        <v>685</v>
      </c>
      <c r="X22" s="4" t="s">
        <v>767</v>
      </c>
      <c r="Y22" s="4"/>
      <c r="Z22" s="4" t="s">
        <v>768</v>
      </c>
      <c r="AA22" s="4">
        <v>5</v>
      </c>
      <c r="AB22" s="7">
        <v>32.5</v>
      </c>
      <c r="AC22" s="7">
        <f t="shared" si="1"/>
        <v>0.3186243272124783</v>
      </c>
      <c r="AD22" s="7">
        <v>102.001</v>
      </c>
      <c r="AE22" s="9">
        <v>45987</v>
      </c>
      <c r="AF22" s="9">
        <v>45987</v>
      </c>
      <c r="AG22" s="10">
        <v>0.53567129629629628</v>
      </c>
      <c r="AH22" s="4" t="s">
        <v>188</v>
      </c>
      <c r="AI22" s="4" t="s">
        <v>134</v>
      </c>
      <c r="AJ22" s="4" t="s">
        <v>135</v>
      </c>
      <c r="AK22" s="4" t="s">
        <v>136</v>
      </c>
      <c r="AL22" s="4" t="s">
        <v>137</v>
      </c>
      <c r="AM22" s="4" t="s">
        <v>138</v>
      </c>
      <c r="AN22" s="4" t="s">
        <v>139</v>
      </c>
      <c r="AO22" s="4" t="s">
        <v>140</v>
      </c>
      <c r="AP22" s="4" t="s">
        <v>141</v>
      </c>
      <c r="AQ22" s="4" t="s">
        <v>142</v>
      </c>
      <c r="AR22" s="4" t="s">
        <v>143</v>
      </c>
    </row>
    <row r="23" spans="1:44" x14ac:dyDescent="0.2">
      <c r="A23" s="8" t="s">
        <v>561</v>
      </c>
      <c r="B23" s="8" t="s">
        <v>562</v>
      </c>
      <c r="C23" s="8" t="s">
        <v>563</v>
      </c>
      <c r="D23" s="8" t="s">
        <v>564</v>
      </c>
      <c r="E23" s="8" t="s">
        <v>962</v>
      </c>
      <c r="F23" s="14"/>
      <c r="G23" s="14"/>
      <c r="H23" s="15" t="s">
        <v>968</v>
      </c>
      <c r="I23" s="5" t="s">
        <v>785</v>
      </c>
      <c r="J23" s="5" t="s">
        <v>785</v>
      </c>
      <c r="K23" s="5">
        <v>1488</v>
      </c>
      <c r="L23" s="5">
        <v>373</v>
      </c>
      <c r="M23" s="6" t="s">
        <v>776</v>
      </c>
      <c r="N23" s="6">
        <v>0.106</v>
      </c>
      <c r="O23" s="8" t="s">
        <v>133</v>
      </c>
      <c r="P23" s="8" t="s">
        <v>41</v>
      </c>
      <c r="Q23" s="8" t="s">
        <v>780</v>
      </c>
      <c r="R23" s="8" t="s">
        <v>41</v>
      </c>
      <c r="S23" s="8">
        <v>2</v>
      </c>
      <c r="T23" s="8">
        <v>2</v>
      </c>
      <c r="U23" s="8">
        <v>427</v>
      </c>
      <c r="V23" s="8">
        <v>513</v>
      </c>
      <c r="W23" s="8">
        <f t="shared" si="0"/>
        <v>613</v>
      </c>
      <c r="X23" s="4" t="s">
        <v>767</v>
      </c>
      <c r="Y23" s="4"/>
      <c r="Z23" s="4" t="s">
        <v>768</v>
      </c>
      <c r="AA23" s="4">
        <v>5</v>
      </c>
      <c r="AB23" s="7">
        <v>32.5</v>
      </c>
      <c r="AC23" s="7">
        <f t="shared" si="1"/>
        <v>0.3186243272124783</v>
      </c>
      <c r="AD23" s="7">
        <v>102.001</v>
      </c>
      <c r="AE23" s="9">
        <v>45987</v>
      </c>
      <c r="AF23" s="9">
        <v>45987</v>
      </c>
      <c r="AG23" s="10">
        <v>0.53545138888888888</v>
      </c>
      <c r="AH23" s="4" t="s">
        <v>188</v>
      </c>
      <c r="AI23" s="4" t="s">
        <v>134</v>
      </c>
      <c r="AJ23" s="4" t="s">
        <v>135</v>
      </c>
      <c r="AK23" s="4" t="s">
        <v>136</v>
      </c>
      <c r="AL23" s="4" t="s">
        <v>137</v>
      </c>
      <c r="AM23" s="4" t="s">
        <v>138</v>
      </c>
      <c r="AN23" s="4" t="s">
        <v>139</v>
      </c>
      <c r="AO23" s="4" t="s">
        <v>140</v>
      </c>
      <c r="AP23" s="4" t="s">
        <v>141</v>
      </c>
      <c r="AQ23" s="4" t="s">
        <v>142</v>
      </c>
      <c r="AR23" s="4" t="s">
        <v>143</v>
      </c>
    </row>
    <row r="24" spans="1:44" x14ac:dyDescent="0.2">
      <c r="A24" s="8" t="s">
        <v>565</v>
      </c>
      <c r="B24" s="8" t="s">
        <v>566</v>
      </c>
      <c r="C24" s="8" t="s">
        <v>567</v>
      </c>
      <c r="D24" s="8" t="s">
        <v>568</v>
      </c>
      <c r="E24" s="8" t="s">
        <v>962</v>
      </c>
      <c r="F24" s="14"/>
      <c r="G24" s="14"/>
      <c r="H24" s="15" t="s">
        <v>968</v>
      </c>
      <c r="I24" s="5" t="s">
        <v>785</v>
      </c>
      <c r="J24" s="5" t="s">
        <v>785</v>
      </c>
      <c r="K24" s="5">
        <v>1488</v>
      </c>
      <c r="L24" s="5">
        <v>373</v>
      </c>
      <c r="M24" s="6" t="s">
        <v>776</v>
      </c>
      <c r="N24" s="6">
        <v>0.105</v>
      </c>
      <c r="O24" s="8" t="s">
        <v>133</v>
      </c>
      <c r="P24" s="8" t="s">
        <v>41</v>
      </c>
      <c r="Q24" s="8" t="s">
        <v>780</v>
      </c>
      <c r="R24" s="8" t="s">
        <v>41</v>
      </c>
      <c r="S24" s="8">
        <v>2</v>
      </c>
      <c r="T24" s="8">
        <v>2</v>
      </c>
      <c r="U24" s="8">
        <v>317</v>
      </c>
      <c r="V24" s="8">
        <v>517</v>
      </c>
      <c r="W24" s="8">
        <f t="shared" si="0"/>
        <v>617</v>
      </c>
      <c r="X24" s="4" t="s">
        <v>767</v>
      </c>
      <c r="Y24" s="4"/>
      <c r="Z24" s="4" t="s">
        <v>768</v>
      </c>
      <c r="AA24" s="4">
        <v>5</v>
      </c>
      <c r="AB24" s="7">
        <v>32.5</v>
      </c>
      <c r="AC24" s="7">
        <f t="shared" si="1"/>
        <v>0.3186243272124783</v>
      </c>
      <c r="AD24" s="7">
        <v>102.001</v>
      </c>
      <c r="AE24" s="9">
        <v>45987</v>
      </c>
      <c r="AF24" s="9">
        <v>45987</v>
      </c>
      <c r="AG24" s="10">
        <v>0.53509259259259256</v>
      </c>
      <c r="AH24" s="4" t="s">
        <v>188</v>
      </c>
      <c r="AI24" s="4" t="s">
        <v>134</v>
      </c>
      <c r="AJ24" s="4" t="s">
        <v>135</v>
      </c>
      <c r="AK24" s="4" t="s">
        <v>136</v>
      </c>
      <c r="AL24" s="4" t="s">
        <v>137</v>
      </c>
      <c r="AM24" s="4" t="s">
        <v>138</v>
      </c>
      <c r="AN24" s="4" t="s">
        <v>139</v>
      </c>
      <c r="AO24" s="4" t="s">
        <v>140</v>
      </c>
      <c r="AP24" s="4" t="s">
        <v>141</v>
      </c>
      <c r="AQ24" s="4" t="s">
        <v>142</v>
      </c>
      <c r="AR24" s="4" t="s">
        <v>143</v>
      </c>
    </row>
    <row r="25" spans="1:44" x14ac:dyDescent="0.2">
      <c r="A25" s="8" t="s">
        <v>569</v>
      </c>
      <c r="B25" s="8" t="s">
        <v>570</v>
      </c>
      <c r="C25" s="8" t="s">
        <v>571</v>
      </c>
      <c r="D25" s="8" t="s">
        <v>572</v>
      </c>
      <c r="E25" s="8" t="s">
        <v>962</v>
      </c>
      <c r="F25" s="14"/>
      <c r="G25" s="14"/>
      <c r="H25" s="15" t="s">
        <v>968</v>
      </c>
      <c r="I25" s="5" t="s">
        <v>785</v>
      </c>
      <c r="J25" s="5" t="s">
        <v>785</v>
      </c>
      <c r="K25" s="5">
        <v>1488</v>
      </c>
      <c r="L25" s="5">
        <v>373</v>
      </c>
      <c r="M25" s="6" t="s">
        <v>776</v>
      </c>
      <c r="N25" s="6">
        <v>0.129</v>
      </c>
      <c r="O25" s="8" t="s">
        <v>133</v>
      </c>
      <c r="P25" s="8" t="s">
        <v>41</v>
      </c>
      <c r="Q25" s="8" t="s">
        <v>780</v>
      </c>
      <c r="R25" s="8" t="s">
        <v>41</v>
      </c>
      <c r="S25" s="8">
        <v>2</v>
      </c>
      <c r="T25" s="8">
        <v>2</v>
      </c>
      <c r="U25" s="8">
        <v>430</v>
      </c>
      <c r="V25" s="8">
        <v>468</v>
      </c>
      <c r="W25" s="8">
        <f t="shared" si="0"/>
        <v>568</v>
      </c>
      <c r="X25" s="4" t="s">
        <v>767</v>
      </c>
      <c r="Y25" s="4"/>
      <c r="Z25" s="4" t="s">
        <v>768</v>
      </c>
      <c r="AA25" s="4">
        <v>5</v>
      </c>
      <c r="AB25" s="7">
        <v>32.5</v>
      </c>
      <c r="AC25" s="7">
        <f t="shared" si="1"/>
        <v>0.3186243272124783</v>
      </c>
      <c r="AD25" s="7">
        <v>102.001</v>
      </c>
      <c r="AE25" s="9">
        <v>45987</v>
      </c>
      <c r="AF25" s="9">
        <v>45987</v>
      </c>
      <c r="AG25" s="10">
        <v>0.53494212962962961</v>
      </c>
      <c r="AH25" s="4" t="s">
        <v>188</v>
      </c>
      <c r="AI25" s="4" t="s">
        <v>134</v>
      </c>
      <c r="AJ25" s="4" t="s">
        <v>135</v>
      </c>
      <c r="AK25" s="4" t="s">
        <v>136</v>
      </c>
      <c r="AL25" s="4" t="s">
        <v>137</v>
      </c>
      <c r="AM25" s="4" t="s">
        <v>138</v>
      </c>
      <c r="AN25" s="4" t="s">
        <v>139</v>
      </c>
      <c r="AO25" s="4" t="s">
        <v>140</v>
      </c>
      <c r="AP25" s="4" t="s">
        <v>141</v>
      </c>
      <c r="AQ25" s="4" t="s">
        <v>142</v>
      </c>
      <c r="AR25" s="4" t="s">
        <v>143</v>
      </c>
    </row>
    <row r="26" spans="1:44" x14ac:dyDescent="0.2">
      <c r="A26" s="8" t="s">
        <v>573</v>
      </c>
      <c r="B26" s="8" t="s">
        <v>574</v>
      </c>
      <c r="C26" s="8" t="s">
        <v>575</v>
      </c>
      <c r="D26" s="8" t="s">
        <v>576</v>
      </c>
      <c r="E26" s="8" t="s">
        <v>962</v>
      </c>
      <c r="F26" s="5">
        <v>584</v>
      </c>
      <c r="G26" s="5"/>
      <c r="H26" s="12"/>
      <c r="I26" s="5" t="s">
        <v>785</v>
      </c>
      <c r="J26" s="5" t="s">
        <v>786</v>
      </c>
      <c r="K26" s="5">
        <v>1488</v>
      </c>
      <c r="L26" s="5">
        <v>373</v>
      </c>
      <c r="M26" s="6" t="s">
        <v>776</v>
      </c>
      <c r="N26" s="6">
        <v>0.16500000000000001</v>
      </c>
      <c r="O26" s="8" t="s">
        <v>133</v>
      </c>
      <c r="P26" s="8" t="s">
        <v>41</v>
      </c>
      <c r="Q26" s="8" t="s">
        <v>780</v>
      </c>
      <c r="R26" s="8" t="s">
        <v>41</v>
      </c>
      <c r="S26" s="8">
        <v>2</v>
      </c>
      <c r="T26" s="8">
        <v>2</v>
      </c>
      <c r="U26" s="8">
        <v>494</v>
      </c>
      <c r="V26" s="8">
        <v>564</v>
      </c>
      <c r="W26" s="8">
        <f t="shared" si="0"/>
        <v>664</v>
      </c>
      <c r="X26" s="4" t="s">
        <v>767</v>
      </c>
      <c r="Y26" s="4"/>
      <c r="Z26" s="4" t="s">
        <v>768</v>
      </c>
      <c r="AA26" s="4">
        <v>5</v>
      </c>
      <c r="AB26" s="7">
        <v>32.5</v>
      </c>
      <c r="AC26" s="7">
        <f t="shared" si="1"/>
        <v>0.3186243272124783</v>
      </c>
      <c r="AD26" s="7">
        <v>102.001</v>
      </c>
      <c r="AE26" s="9">
        <v>45987</v>
      </c>
      <c r="AF26" s="9">
        <v>45987</v>
      </c>
      <c r="AG26" s="10">
        <v>0.53471064814814817</v>
      </c>
      <c r="AH26" s="4" t="s">
        <v>188</v>
      </c>
      <c r="AI26" s="4" t="s">
        <v>134</v>
      </c>
      <c r="AJ26" s="4" t="s">
        <v>135</v>
      </c>
      <c r="AK26" s="4" t="s">
        <v>136</v>
      </c>
      <c r="AL26" s="4" t="s">
        <v>137</v>
      </c>
      <c r="AM26" s="4" t="s">
        <v>138</v>
      </c>
      <c r="AN26" s="4" t="s">
        <v>139</v>
      </c>
      <c r="AO26" s="4" t="s">
        <v>140</v>
      </c>
      <c r="AP26" s="4" t="s">
        <v>141</v>
      </c>
      <c r="AQ26" s="4" t="s">
        <v>142</v>
      </c>
      <c r="AR26" s="4" t="s">
        <v>143</v>
      </c>
    </row>
    <row r="27" spans="1:44" x14ac:dyDescent="0.2">
      <c r="A27" s="8" t="s">
        <v>577</v>
      </c>
      <c r="B27" s="8" t="s">
        <v>578</v>
      </c>
      <c r="C27" s="8" t="s">
        <v>579</v>
      </c>
      <c r="D27" s="8" t="s">
        <v>580</v>
      </c>
      <c r="E27" s="8" t="s">
        <v>962</v>
      </c>
      <c r="F27" s="5">
        <v>573</v>
      </c>
      <c r="G27" s="5"/>
      <c r="H27" s="12"/>
      <c r="I27" s="5" t="s">
        <v>785</v>
      </c>
      <c r="J27" s="5" t="s">
        <v>786</v>
      </c>
      <c r="K27" s="5">
        <v>1488</v>
      </c>
      <c r="L27" s="5">
        <v>373</v>
      </c>
      <c r="M27" s="6" t="s">
        <v>776</v>
      </c>
      <c r="N27" s="6">
        <v>0.14000000000000001</v>
      </c>
      <c r="O27" s="8" t="s">
        <v>133</v>
      </c>
      <c r="P27" s="8" t="s">
        <v>41</v>
      </c>
      <c r="Q27" s="8" t="s">
        <v>780</v>
      </c>
      <c r="R27" s="8" t="s">
        <v>41</v>
      </c>
      <c r="S27" s="8">
        <v>2</v>
      </c>
      <c r="T27" s="8">
        <v>2</v>
      </c>
      <c r="U27" s="8">
        <v>484</v>
      </c>
      <c r="V27" s="8">
        <v>547</v>
      </c>
      <c r="W27" s="8">
        <f t="shared" si="0"/>
        <v>647</v>
      </c>
      <c r="X27" s="4" t="s">
        <v>767</v>
      </c>
      <c r="Y27" s="4"/>
      <c r="Z27" s="4" t="s">
        <v>768</v>
      </c>
      <c r="AA27" s="4">
        <v>5</v>
      </c>
      <c r="AB27" s="7">
        <v>32.5</v>
      </c>
      <c r="AC27" s="7">
        <f t="shared" si="1"/>
        <v>0.3186243272124783</v>
      </c>
      <c r="AD27" s="7">
        <v>102.001</v>
      </c>
      <c r="AE27" s="9">
        <v>45987</v>
      </c>
      <c r="AF27" s="9">
        <v>45987</v>
      </c>
      <c r="AG27" s="10">
        <v>0.53457175925925926</v>
      </c>
      <c r="AH27" s="4" t="s">
        <v>188</v>
      </c>
      <c r="AI27" s="4" t="s">
        <v>134</v>
      </c>
      <c r="AJ27" s="4" t="s">
        <v>135</v>
      </c>
      <c r="AK27" s="4" t="s">
        <v>136</v>
      </c>
      <c r="AL27" s="4" t="s">
        <v>137</v>
      </c>
      <c r="AM27" s="4" t="s">
        <v>138</v>
      </c>
      <c r="AN27" s="4" t="s">
        <v>139</v>
      </c>
      <c r="AO27" s="4" t="s">
        <v>140</v>
      </c>
      <c r="AP27" s="4" t="s">
        <v>141</v>
      </c>
      <c r="AQ27" s="4" t="s">
        <v>142</v>
      </c>
      <c r="AR27" s="4" t="s">
        <v>143</v>
      </c>
    </row>
    <row r="28" spans="1:44" x14ac:dyDescent="0.2">
      <c r="A28" s="8" t="s">
        <v>581</v>
      </c>
      <c r="B28" s="8" t="s">
        <v>582</v>
      </c>
      <c r="C28" s="8" t="s">
        <v>583</v>
      </c>
      <c r="D28" s="8" t="s">
        <v>584</v>
      </c>
      <c r="E28" s="8" t="s">
        <v>962</v>
      </c>
      <c r="F28" s="14"/>
      <c r="G28" s="14"/>
      <c r="H28" s="15" t="s">
        <v>968</v>
      </c>
      <c r="I28" s="5" t="s">
        <v>785</v>
      </c>
      <c r="J28" s="5" t="s">
        <v>785</v>
      </c>
      <c r="K28" s="5">
        <v>1488</v>
      </c>
      <c r="L28" s="5">
        <v>373</v>
      </c>
      <c r="M28" s="6" t="s">
        <v>776</v>
      </c>
      <c r="N28" s="6">
        <v>0.13800000000000001</v>
      </c>
      <c r="O28" s="8" t="s">
        <v>133</v>
      </c>
      <c r="P28" s="8" t="s">
        <v>41</v>
      </c>
      <c r="Q28" s="8" t="s">
        <v>780</v>
      </c>
      <c r="R28" s="8" t="s">
        <v>41</v>
      </c>
      <c r="S28" s="8">
        <v>2</v>
      </c>
      <c r="T28" s="8">
        <v>2</v>
      </c>
      <c r="U28" s="8">
        <v>499</v>
      </c>
      <c r="V28" s="8">
        <v>534</v>
      </c>
      <c r="W28" s="8">
        <f t="shared" si="0"/>
        <v>634</v>
      </c>
      <c r="X28" s="4" t="s">
        <v>767</v>
      </c>
      <c r="Y28" s="4"/>
      <c r="Z28" s="4" t="s">
        <v>768</v>
      </c>
      <c r="AA28" s="4">
        <v>5</v>
      </c>
      <c r="AB28" s="7">
        <v>32.5</v>
      </c>
      <c r="AC28" s="7">
        <f t="shared" si="1"/>
        <v>0.3186243272124783</v>
      </c>
      <c r="AD28" s="7">
        <v>102.001</v>
      </c>
      <c r="AE28" s="9">
        <v>45987</v>
      </c>
      <c r="AF28" s="9">
        <v>45987</v>
      </c>
      <c r="AG28" s="10">
        <v>0.53446759259259258</v>
      </c>
      <c r="AH28" s="4" t="s">
        <v>188</v>
      </c>
      <c r="AI28" s="4" t="s">
        <v>134</v>
      </c>
      <c r="AJ28" s="4" t="s">
        <v>135</v>
      </c>
      <c r="AK28" s="4" t="s">
        <v>136</v>
      </c>
      <c r="AL28" s="4" t="s">
        <v>137</v>
      </c>
      <c r="AM28" s="4" t="s">
        <v>138</v>
      </c>
      <c r="AN28" s="4" t="s">
        <v>139</v>
      </c>
      <c r="AO28" s="4" t="s">
        <v>140</v>
      </c>
      <c r="AP28" s="4" t="s">
        <v>141</v>
      </c>
      <c r="AQ28" s="4" t="s">
        <v>142</v>
      </c>
      <c r="AR28" s="4" t="s">
        <v>143</v>
      </c>
    </row>
    <row r="29" spans="1:44" x14ac:dyDescent="0.2">
      <c r="A29" s="8" t="s">
        <v>733</v>
      </c>
      <c r="B29" s="8" t="s">
        <v>734</v>
      </c>
      <c r="C29" s="8" t="s">
        <v>735</v>
      </c>
      <c r="D29" s="8" t="s">
        <v>736</v>
      </c>
      <c r="E29" s="8" t="s">
        <v>962</v>
      </c>
      <c r="F29" s="5">
        <v>439</v>
      </c>
      <c r="G29" s="5"/>
      <c r="H29" s="12"/>
      <c r="I29" s="5" t="s">
        <v>785</v>
      </c>
      <c r="J29" s="5" t="s">
        <v>785</v>
      </c>
      <c r="K29" s="5">
        <v>1488</v>
      </c>
      <c r="L29" s="5">
        <v>373</v>
      </c>
      <c r="M29" s="6" t="s">
        <v>776</v>
      </c>
      <c r="N29" s="6">
        <v>0.25600000000000001</v>
      </c>
      <c r="O29" s="8" t="s">
        <v>133</v>
      </c>
      <c r="P29" s="8" t="s">
        <v>25</v>
      </c>
      <c r="Q29" s="8" t="s">
        <v>779</v>
      </c>
      <c r="R29" s="8" t="s">
        <v>25</v>
      </c>
      <c r="S29" s="8">
        <v>3</v>
      </c>
      <c r="T29" s="8">
        <v>3</v>
      </c>
      <c r="U29" s="8">
        <v>356</v>
      </c>
      <c r="V29" s="8">
        <v>408</v>
      </c>
      <c r="W29" s="8">
        <f t="shared" si="0"/>
        <v>508</v>
      </c>
      <c r="X29" s="4" t="s">
        <v>767</v>
      </c>
      <c r="Y29" s="4"/>
      <c r="Z29" s="4" t="s">
        <v>768</v>
      </c>
      <c r="AA29" s="4">
        <v>5</v>
      </c>
      <c r="AB29" s="7">
        <v>32.5</v>
      </c>
      <c r="AC29" s="7">
        <f t="shared" si="1"/>
        <v>0.3186243272124783</v>
      </c>
      <c r="AD29" s="7">
        <v>102.001</v>
      </c>
      <c r="AE29" s="9">
        <v>45987</v>
      </c>
      <c r="AF29" s="9">
        <v>45987</v>
      </c>
      <c r="AG29" s="10">
        <v>0.48752314814814812</v>
      </c>
      <c r="AH29" s="4" t="s">
        <v>188</v>
      </c>
      <c r="AI29" s="4" t="s">
        <v>134</v>
      </c>
      <c r="AJ29" s="4" t="s">
        <v>135</v>
      </c>
      <c r="AK29" s="4" t="s">
        <v>136</v>
      </c>
      <c r="AL29" s="4" t="s">
        <v>137</v>
      </c>
      <c r="AM29" s="4" t="s">
        <v>138</v>
      </c>
      <c r="AN29" s="4" t="s">
        <v>139</v>
      </c>
      <c r="AO29" s="4" t="s">
        <v>140</v>
      </c>
      <c r="AP29" s="4" t="s">
        <v>141</v>
      </c>
      <c r="AQ29" s="4" t="s">
        <v>142</v>
      </c>
      <c r="AR29" s="4" t="s">
        <v>143</v>
      </c>
    </row>
    <row r="30" spans="1:44" x14ac:dyDescent="0.2">
      <c r="A30" s="8" t="s">
        <v>753</v>
      </c>
      <c r="B30" s="8" t="s">
        <v>754</v>
      </c>
      <c r="C30" s="8" t="s">
        <v>755</v>
      </c>
      <c r="D30" s="8" t="s">
        <v>756</v>
      </c>
      <c r="E30" s="8" t="s">
        <v>962</v>
      </c>
      <c r="F30" s="5">
        <v>800</v>
      </c>
      <c r="G30" s="5"/>
      <c r="H30" s="12"/>
      <c r="I30" s="5" t="s">
        <v>785</v>
      </c>
      <c r="J30" s="5" t="s">
        <v>785</v>
      </c>
      <c r="K30" s="5">
        <v>1488</v>
      </c>
      <c r="L30" s="5">
        <v>373</v>
      </c>
      <c r="M30" s="6" t="s">
        <v>776</v>
      </c>
      <c r="N30" s="6"/>
      <c r="O30" s="8" t="s">
        <v>133</v>
      </c>
      <c r="P30" s="8" t="s">
        <v>25</v>
      </c>
      <c r="Q30" s="8" t="s">
        <v>779</v>
      </c>
      <c r="R30" s="8" t="s">
        <v>25</v>
      </c>
      <c r="S30" s="8">
        <v>3</v>
      </c>
      <c r="T30" s="8">
        <v>3</v>
      </c>
      <c r="U30" s="8">
        <v>732</v>
      </c>
      <c r="V30" s="8">
        <v>759</v>
      </c>
      <c r="W30" s="8">
        <f t="shared" si="0"/>
        <v>859</v>
      </c>
      <c r="X30" s="4" t="s">
        <v>767</v>
      </c>
      <c r="Y30" s="4" t="s">
        <v>767</v>
      </c>
      <c r="Z30" s="4" t="s">
        <v>768</v>
      </c>
      <c r="AA30" s="4">
        <v>5</v>
      </c>
      <c r="AB30" s="7">
        <v>32.5</v>
      </c>
      <c r="AC30" s="7">
        <f t="shared" si="1"/>
        <v>0.3186243272124783</v>
      </c>
      <c r="AD30" s="7">
        <v>102.001</v>
      </c>
      <c r="AE30" s="9">
        <v>45987</v>
      </c>
      <c r="AF30" s="9">
        <v>45987</v>
      </c>
      <c r="AG30" s="10">
        <v>0.48119212962962965</v>
      </c>
      <c r="AH30" s="4" t="s">
        <v>188</v>
      </c>
      <c r="AI30" s="4" t="s">
        <v>134</v>
      </c>
      <c r="AJ30" s="4" t="s">
        <v>135</v>
      </c>
      <c r="AK30" s="4" t="s">
        <v>136</v>
      </c>
      <c r="AL30" s="4" t="s">
        <v>137</v>
      </c>
      <c r="AM30" s="4" t="s">
        <v>138</v>
      </c>
      <c r="AN30" s="4" t="s">
        <v>139</v>
      </c>
      <c r="AO30" s="4" t="s">
        <v>140</v>
      </c>
      <c r="AP30" s="4" t="s">
        <v>141</v>
      </c>
      <c r="AQ30" s="4" t="s">
        <v>142</v>
      </c>
      <c r="AR30" s="4" t="s">
        <v>143</v>
      </c>
    </row>
    <row r="31" spans="1:44" x14ac:dyDescent="0.2">
      <c r="A31" s="8" t="s">
        <v>757</v>
      </c>
      <c r="B31" s="8" t="s">
        <v>758</v>
      </c>
      <c r="C31" s="8" t="s">
        <v>759</v>
      </c>
      <c r="D31" s="8" t="s">
        <v>760</v>
      </c>
      <c r="E31" s="8" t="s">
        <v>962</v>
      </c>
      <c r="F31" s="14"/>
      <c r="G31" s="14"/>
      <c r="H31" s="15" t="s">
        <v>968</v>
      </c>
      <c r="I31" s="5" t="s">
        <v>785</v>
      </c>
      <c r="J31" s="5" t="s">
        <v>785</v>
      </c>
      <c r="K31" s="5">
        <v>1488</v>
      </c>
      <c r="L31" s="5">
        <v>373</v>
      </c>
      <c r="M31" s="6" t="s">
        <v>776</v>
      </c>
      <c r="N31" s="6">
        <v>0.08</v>
      </c>
      <c r="O31" s="8" t="s">
        <v>133</v>
      </c>
      <c r="P31" s="8" t="s">
        <v>25</v>
      </c>
      <c r="Q31" s="8" t="s">
        <v>779</v>
      </c>
      <c r="R31" s="8" t="s">
        <v>25</v>
      </c>
      <c r="S31" s="8">
        <v>3</v>
      </c>
      <c r="T31" s="8">
        <v>3</v>
      </c>
      <c r="U31" s="8">
        <v>727</v>
      </c>
      <c r="V31" s="8">
        <v>780</v>
      </c>
      <c r="W31" s="8">
        <f t="shared" si="0"/>
        <v>880</v>
      </c>
      <c r="X31" s="4" t="s">
        <v>767</v>
      </c>
      <c r="Y31" s="4" t="s">
        <v>767</v>
      </c>
      <c r="Z31" s="4" t="s">
        <v>768</v>
      </c>
      <c r="AA31" s="4">
        <v>5</v>
      </c>
      <c r="AB31" s="7">
        <v>32.5</v>
      </c>
      <c r="AC31" s="7">
        <f t="shared" si="1"/>
        <v>0.3186243272124783</v>
      </c>
      <c r="AD31" s="7">
        <v>102.001</v>
      </c>
      <c r="AE31" s="9">
        <v>45987</v>
      </c>
      <c r="AF31" s="9">
        <v>45987</v>
      </c>
      <c r="AG31" s="10">
        <v>0.48173611111111109</v>
      </c>
      <c r="AH31" s="4" t="s">
        <v>188</v>
      </c>
      <c r="AI31" s="4" t="s">
        <v>134</v>
      </c>
      <c r="AJ31" s="4" t="s">
        <v>135</v>
      </c>
      <c r="AK31" s="4" t="s">
        <v>136</v>
      </c>
      <c r="AL31" s="4" t="s">
        <v>137</v>
      </c>
      <c r="AM31" s="4" t="s">
        <v>138</v>
      </c>
      <c r="AN31" s="4" t="s">
        <v>139</v>
      </c>
      <c r="AO31" s="4" t="s">
        <v>140</v>
      </c>
      <c r="AP31" s="4" t="s">
        <v>141</v>
      </c>
      <c r="AQ31" s="4" t="s">
        <v>142</v>
      </c>
      <c r="AR31" s="4" t="s">
        <v>143</v>
      </c>
    </row>
    <row r="32" spans="1:44" x14ac:dyDescent="0.2">
      <c r="A32" s="8" t="s">
        <v>761</v>
      </c>
      <c r="B32" s="8" t="s">
        <v>762</v>
      </c>
      <c r="C32" s="8" t="s">
        <v>763</v>
      </c>
      <c r="D32" s="8" t="s">
        <v>764</v>
      </c>
      <c r="E32" s="8" t="s">
        <v>962</v>
      </c>
      <c r="F32" s="5">
        <v>569</v>
      </c>
      <c r="G32" s="5"/>
      <c r="H32" s="12"/>
      <c r="I32" s="5" t="s">
        <v>785</v>
      </c>
      <c r="J32" s="5" t="s">
        <v>785</v>
      </c>
      <c r="K32" s="5">
        <v>1488</v>
      </c>
      <c r="L32" s="5">
        <v>373</v>
      </c>
      <c r="M32" s="6" t="s">
        <v>776</v>
      </c>
      <c r="N32" s="6">
        <v>0.155</v>
      </c>
      <c r="O32" s="8" t="s">
        <v>133</v>
      </c>
      <c r="P32" s="8" t="s">
        <v>25</v>
      </c>
      <c r="Q32" s="8" t="s">
        <v>779</v>
      </c>
      <c r="R32" s="8" t="s">
        <v>25</v>
      </c>
      <c r="S32" s="8">
        <v>3</v>
      </c>
      <c r="T32" s="8">
        <v>3</v>
      </c>
      <c r="U32" s="8">
        <v>476</v>
      </c>
      <c r="V32" s="8">
        <v>534</v>
      </c>
      <c r="W32" s="8">
        <f t="shared" si="0"/>
        <v>634</v>
      </c>
      <c r="X32" s="4" t="s">
        <v>767</v>
      </c>
      <c r="Y32" s="4"/>
      <c r="Z32" s="4" t="s">
        <v>768</v>
      </c>
      <c r="AA32" s="4">
        <v>5</v>
      </c>
      <c r="AB32" s="7">
        <v>32.5</v>
      </c>
      <c r="AC32" s="7">
        <f t="shared" si="1"/>
        <v>0.3186243272124783</v>
      </c>
      <c r="AD32" s="7">
        <v>102.001</v>
      </c>
      <c r="AE32" s="9">
        <v>45987</v>
      </c>
      <c r="AF32" s="9">
        <v>45987</v>
      </c>
      <c r="AG32" s="10">
        <v>0.48731481481481481</v>
      </c>
      <c r="AH32" s="4" t="s">
        <v>188</v>
      </c>
      <c r="AI32" s="4" t="s">
        <v>134</v>
      </c>
      <c r="AJ32" s="4" t="s">
        <v>135</v>
      </c>
      <c r="AK32" s="4" t="s">
        <v>136</v>
      </c>
      <c r="AL32" s="4" t="s">
        <v>137</v>
      </c>
      <c r="AM32" s="4" t="s">
        <v>138</v>
      </c>
      <c r="AN32" s="4" t="s">
        <v>139</v>
      </c>
      <c r="AO32" s="4" t="s">
        <v>140</v>
      </c>
      <c r="AP32" s="4" t="s">
        <v>141</v>
      </c>
      <c r="AQ32" s="4" t="s">
        <v>142</v>
      </c>
      <c r="AR32" s="4" t="s">
        <v>143</v>
      </c>
    </row>
    <row r="33" spans="1:44" x14ac:dyDescent="0.2">
      <c r="A33" s="8" t="s">
        <v>529</v>
      </c>
      <c r="B33" s="8" t="s">
        <v>530</v>
      </c>
      <c r="C33" s="8" t="s">
        <v>531</v>
      </c>
      <c r="D33" s="8" t="s">
        <v>532</v>
      </c>
      <c r="E33" s="8" t="s">
        <v>962</v>
      </c>
      <c r="F33" s="5">
        <v>438</v>
      </c>
      <c r="G33" s="5"/>
      <c r="H33" s="12"/>
      <c r="I33" s="5" t="s">
        <v>785</v>
      </c>
      <c r="J33" s="5" t="s">
        <v>785</v>
      </c>
      <c r="K33" s="5">
        <v>1488</v>
      </c>
      <c r="L33" s="5">
        <v>373</v>
      </c>
      <c r="M33" s="6" t="s">
        <v>776</v>
      </c>
      <c r="N33" s="6">
        <v>9.1999999999999998E-2</v>
      </c>
      <c r="O33" s="8" t="s">
        <v>133</v>
      </c>
      <c r="P33" s="8" t="s">
        <v>41</v>
      </c>
      <c r="Q33" s="8" t="s">
        <v>779</v>
      </c>
      <c r="R33" s="8" t="s">
        <v>41</v>
      </c>
      <c r="S33" s="8">
        <v>3</v>
      </c>
      <c r="T33" s="8">
        <v>3</v>
      </c>
      <c r="U33" s="8">
        <v>374</v>
      </c>
      <c r="V33" s="8">
        <v>410</v>
      </c>
      <c r="W33" s="8">
        <f t="shared" si="0"/>
        <v>510</v>
      </c>
      <c r="X33" s="4" t="s">
        <v>767</v>
      </c>
      <c r="Y33" s="4"/>
      <c r="Z33" s="4" t="s">
        <v>768</v>
      </c>
      <c r="AA33" s="4">
        <v>5</v>
      </c>
      <c r="AB33" s="7">
        <v>32.5</v>
      </c>
      <c r="AC33" s="7">
        <f t="shared" si="1"/>
        <v>0.3186243272124783</v>
      </c>
      <c r="AD33" s="7">
        <v>102.001</v>
      </c>
      <c r="AE33" s="9">
        <v>45987</v>
      </c>
      <c r="AF33" s="9">
        <v>45987</v>
      </c>
      <c r="AG33" s="10">
        <v>0.54251157407407402</v>
      </c>
      <c r="AH33" s="4" t="s">
        <v>188</v>
      </c>
      <c r="AI33" s="4" t="s">
        <v>134</v>
      </c>
      <c r="AJ33" s="4" t="s">
        <v>135</v>
      </c>
      <c r="AK33" s="4" t="s">
        <v>136</v>
      </c>
      <c r="AL33" s="4" t="s">
        <v>137</v>
      </c>
      <c r="AM33" s="4" t="s">
        <v>138</v>
      </c>
      <c r="AN33" s="4" t="s">
        <v>139</v>
      </c>
      <c r="AO33" s="4" t="s">
        <v>140</v>
      </c>
      <c r="AP33" s="4" t="s">
        <v>141</v>
      </c>
      <c r="AQ33" s="4" t="s">
        <v>142</v>
      </c>
      <c r="AR33" s="4" t="s">
        <v>143</v>
      </c>
    </row>
    <row r="34" spans="1:44" x14ac:dyDescent="0.2">
      <c r="A34" s="8" t="s">
        <v>533</v>
      </c>
      <c r="B34" s="8" t="s">
        <v>534</v>
      </c>
      <c r="C34" s="8" t="s">
        <v>535</v>
      </c>
      <c r="D34" s="8" t="s">
        <v>536</v>
      </c>
      <c r="E34" s="8" t="s">
        <v>962</v>
      </c>
      <c r="F34" s="5">
        <v>320</v>
      </c>
      <c r="G34" s="5"/>
      <c r="H34" s="12"/>
      <c r="I34" s="5" t="s">
        <v>785</v>
      </c>
      <c r="J34" s="5" t="s">
        <v>785</v>
      </c>
      <c r="K34" s="5">
        <v>1488</v>
      </c>
      <c r="L34" s="5">
        <v>373</v>
      </c>
      <c r="M34" s="6" t="s">
        <v>776</v>
      </c>
      <c r="N34" s="6">
        <v>0.13400000000000001</v>
      </c>
      <c r="O34" s="8" t="s">
        <v>133</v>
      </c>
      <c r="P34" s="8" t="s">
        <v>41</v>
      </c>
      <c r="Q34" s="8" t="s">
        <v>779</v>
      </c>
      <c r="R34" s="8" t="s">
        <v>41</v>
      </c>
      <c r="S34" s="8">
        <v>3</v>
      </c>
      <c r="T34" s="8">
        <v>3</v>
      </c>
      <c r="U34" s="8">
        <v>185</v>
      </c>
      <c r="V34" s="8">
        <v>291</v>
      </c>
      <c r="W34" s="8">
        <f t="shared" ref="W34:W65" si="2">V34+100</f>
        <v>391</v>
      </c>
      <c r="X34" s="4" t="s">
        <v>767</v>
      </c>
      <c r="Y34" s="4"/>
      <c r="Z34" s="4" t="s">
        <v>768</v>
      </c>
      <c r="AA34" s="4">
        <v>5</v>
      </c>
      <c r="AB34" s="7">
        <v>32.5</v>
      </c>
      <c r="AC34" s="7">
        <f t="shared" ref="AC34:AC65" si="3">AB34/AD34</f>
        <v>0.3186243272124783</v>
      </c>
      <c r="AD34" s="7">
        <v>102.001</v>
      </c>
      <c r="AE34" s="9">
        <v>45987</v>
      </c>
      <c r="AF34" s="9">
        <v>45987</v>
      </c>
      <c r="AG34" s="10">
        <v>0.54107638888888887</v>
      </c>
      <c r="AH34" s="4" t="s">
        <v>188</v>
      </c>
      <c r="AI34" s="4" t="s">
        <v>134</v>
      </c>
      <c r="AJ34" s="4" t="s">
        <v>135</v>
      </c>
      <c r="AK34" s="4" t="s">
        <v>136</v>
      </c>
      <c r="AL34" s="4" t="s">
        <v>137</v>
      </c>
      <c r="AM34" s="4" t="s">
        <v>138</v>
      </c>
      <c r="AN34" s="4" t="s">
        <v>139</v>
      </c>
      <c r="AO34" s="4" t="s">
        <v>140</v>
      </c>
      <c r="AP34" s="4" t="s">
        <v>141</v>
      </c>
      <c r="AQ34" s="4" t="s">
        <v>142</v>
      </c>
      <c r="AR34" s="4" t="s">
        <v>143</v>
      </c>
    </row>
    <row r="35" spans="1:44" x14ac:dyDescent="0.2">
      <c r="A35" s="8" t="s">
        <v>721</v>
      </c>
      <c r="B35" s="8" t="s">
        <v>722</v>
      </c>
      <c r="C35" s="8" t="s">
        <v>723</v>
      </c>
      <c r="D35" s="8" t="s">
        <v>724</v>
      </c>
      <c r="E35" s="8" t="s">
        <v>962</v>
      </c>
      <c r="F35" s="5">
        <v>581</v>
      </c>
      <c r="G35" s="5"/>
      <c r="H35" s="12"/>
      <c r="I35" s="5" t="s">
        <v>786</v>
      </c>
      <c r="J35" s="5" t="s">
        <v>786</v>
      </c>
      <c r="K35" s="5">
        <v>1488</v>
      </c>
      <c r="L35" s="5">
        <v>373</v>
      </c>
      <c r="M35" s="6" t="s">
        <v>776</v>
      </c>
      <c r="N35" s="6">
        <v>0.26600000000000001</v>
      </c>
      <c r="O35" s="8" t="s">
        <v>133</v>
      </c>
      <c r="P35" s="8" t="s">
        <v>25</v>
      </c>
      <c r="Q35" s="8" t="s">
        <v>779</v>
      </c>
      <c r="R35" s="8" t="s">
        <v>25</v>
      </c>
      <c r="S35" s="8">
        <v>4</v>
      </c>
      <c r="T35" s="8">
        <v>4</v>
      </c>
      <c r="U35" s="8">
        <v>483</v>
      </c>
      <c r="V35" s="8">
        <v>543</v>
      </c>
      <c r="W35" s="8">
        <f t="shared" si="2"/>
        <v>643</v>
      </c>
      <c r="X35" s="4" t="s">
        <v>766</v>
      </c>
      <c r="Y35" s="4"/>
      <c r="Z35" s="4" t="s">
        <v>768</v>
      </c>
      <c r="AA35" s="4">
        <v>5</v>
      </c>
      <c r="AB35" s="7">
        <v>32.5</v>
      </c>
      <c r="AC35" s="7">
        <f t="shared" si="3"/>
        <v>0.3186243272124783</v>
      </c>
      <c r="AD35" s="7">
        <v>102.001</v>
      </c>
      <c r="AE35" s="9">
        <v>45987</v>
      </c>
      <c r="AF35" s="9">
        <v>45987</v>
      </c>
      <c r="AG35" s="10">
        <v>0.50012731481481476</v>
      </c>
      <c r="AH35" s="4" t="s">
        <v>188</v>
      </c>
      <c r="AI35" s="4" t="s">
        <v>134</v>
      </c>
      <c r="AJ35" s="4" t="s">
        <v>135</v>
      </c>
      <c r="AK35" s="4" t="s">
        <v>136</v>
      </c>
      <c r="AL35" s="4" t="s">
        <v>137</v>
      </c>
      <c r="AM35" s="4" t="s">
        <v>138</v>
      </c>
      <c r="AN35" s="4" t="s">
        <v>139</v>
      </c>
      <c r="AO35" s="4" t="s">
        <v>140</v>
      </c>
      <c r="AP35" s="4" t="s">
        <v>141</v>
      </c>
      <c r="AQ35" s="4" t="s">
        <v>142</v>
      </c>
      <c r="AR35" s="4" t="s">
        <v>143</v>
      </c>
    </row>
    <row r="36" spans="1:44" x14ac:dyDescent="0.2">
      <c r="A36" s="8" t="s">
        <v>725</v>
      </c>
      <c r="B36" s="8" t="s">
        <v>726</v>
      </c>
      <c r="C36" s="8" t="s">
        <v>727</v>
      </c>
      <c r="D36" s="8" t="s">
        <v>728</v>
      </c>
      <c r="E36" s="8" t="s">
        <v>962</v>
      </c>
      <c r="F36" s="5">
        <v>372</v>
      </c>
      <c r="G36" s="5"/>
      <c r="H36" s="12"/>
      <c r="I36" s="5" t="s">
        <v>785</v>
      </c>
      <c r="J36" s="5" t="s">
        <v>785</v>
      </c>
      <c r="K36" s="5">
        <v>1488</v>
      </c>
      <c r="L36" s="5">
        <v>373</v>
      </c>
      <c r="M36" s="6" t="s">
        <v>776</v>
      </c>
      <c r="N36" s="6">
        <v>7.5999999999999998E-2</v>
      </c>
      <c r="O36" s="8" t="s">
        <v>133</v>
      </c>
      <c r="P36" s="8" t="s">
        <v>25</v>
      </c>
      <c r="Q36" s="8" t="s">
        <v>780</v>
      </c>
      <c r="R36" s="8" t="s">
        <v>25</v>
      </c>
      <c r="S36" s="8">
        <v>5</v>
      </c>
      <c r="T36" s="8">
        <v>5</v>
      </c>
      <c r="U36" s="8">
        <v>240</v>
      </c>
      <c r="V36" s="8">
        <v>270</v>
      </c>
      <c r="W36" s="8">
        <f t="shared" si="2"/>
        <v>370</v>
      </c>
      <c r="X36" s="4" t="s">
        <v>767</v>
      </c>
      <c r="Y36" s="4" t="s">
        <v>767</v>
      </c>
      <c r="Z36" s="4" t="s">
        <v>768</v>
      </c>
      <c r="AA36" s="4">
        <v>5</v>
      </c>
      <c r="AB36" s="7">
        <v>32.5</v>
      </c>
      <c r="AC36" s="7">
        <f t="shared" si="3"/>
        <v>0.3186243272124783</v>
      </c>
      <c r="AD36" s="7">
        <v>102.001</v>
      </c>
      <c r="AE36" s="9">
        <v>45987</v>
      </c>
      <c r="AF36" s="9">
        <v>45987</v>
      </c>
      <c r="AG36" s="10">
        <v>0.5080324074074074</v>
      </c>
      <c r="AH36" s="4" t="s">
        <v>188</v>
      </c>
      <c r="AI36" s="4" t="s">
        <v>134</v>
      </c>
      <c r="AJ36" s="4" t="s">
        <v>135</v>
      </c>
      <c r="AK36" s="4" t="s">
        <v>136</v>
      </c>
      <c r="AL36" s="4" t="s">
        <v>137</v>
      </c>
      <c r="AM36" s="4" t="s">
        <v>138</v>
      </c>
      <c r="AN36" s="4" t="s">
        <v>139</v>
      </c>
      <c r="AO36" s="4" t="s">
        <v>140</v>
      </c>
      <c r="AP36" s="4" t="s">
        <v>141</v>
      </c>
      <c r="AQ36" s="4" t="s">
        <v>142</v>
      </c>
      <c r="AR36" s="4" t="s">
        <v>143</v>
      </c>
    </row>
    <row r="37" spans="1:44" x14ac:dyDescent="0.2">
      <c r="A37" s="8" t="s">
        <v>729</v>
      </c>
      <c r="B37" s="8" t="s">
        <v>730</v>
      </c>
      <c r="C37" s="8" t="s">
        <v>731</v>
      </c>
      <c r="D37" s="8" t="s">
        <v>732</v>
      </c>
      <c r="E37" s="8" t="s">
        <v>962</v>
      </c>
      <c r="F37" s="5">
        <v>570</v>
      </c>
      <c r="G37" s="5"/>
      <c r="H37" s="12"/>
      <c r="I37" s="5" t="s">
        <v>785</v>
      </c>
      <c r="J37" s="5" t="s">
        <v>785</v>
      </c>
      <c r="K37" s="5">
        <v>1488</v>
      </c>
      <c r="L37" s="5">
        <v>373</v>
      </c>
      <c r="M37" s="6" t="s">
        <v>776</v>
      </c>
      <c r="N37" s="6">
        <v>0.06</v>
      </c>
      <c r="O37" s="8" t="s">
        <v>133</v>
      </c>
      <c r="P37" s="8" t="s">
        <v>25</v>
      </c>
      <c r="Q37" s="8" t="s">
        <v>780</v>
      </c>
      <c r="R37" s="8" t="s">
        <v>25</v>
      </c>
      <c r="S37" s="8">
        <v>5</v>
      </c>
      <c r="T37" s="8">
        <v>5</v>
      </c>
      <c r="U37" s="8">
        <v>423</v>
      </c>
      <c r="V37" s="8">
        <v>454</v>
      </c>
      <c r="W37" s="8">
        <f t="shared" si="2"/>
        <v>554</v>
      </c>
      <c r="X37" s="4" t="s">
        <v>767</v>
      </c>
      <c r="Y37" s="4" t="s">
        <v>767</v>
      </c>
      <c r="Z37" s="4" t="s">
        <v>768</v>
      </c>
      <c r="AA37" s="4">
        <v>5</v>
      </c>
      <c r="AB37" s="7">
        <v>32.5</v>
      </c>
      <c r="AC37" s="7">
        <f t="shared" si="3"/>
        <v>0.3186243272124783</v>
      </c>
      <c r="AD37" s="7">
        <v>102.001</v>
      </c>
      <c r="AE37" s="9">
        <v>45987</v>
      </c>
      <c r="AF37" s="9">
        <v>45987</v>
      </c>
      <c r="AG37" s="10">
        <v>0.508275462962963</v>
      </c>
      <c r="AH37" s="4" t="s">
        <v>188</v>
      </c>
      <c r="AI37" s="4" t="s">
        <v>134</v>
      </c>
      <c r="AJ37" s="4" t="s">
        <v>135</v>
      </c>
      <c r="AK37" s="4" t="s">
        <v>136</v>
      </c>
      <c r="AL37" s="4" t="s">
        <v>137</v>
      </c>
      <c r="AM37" s="4" t="s">
        <v>138</v>
      </c>
      <c r="AN37" s="4" t="s">
        <v>139</v>
      </c>
      <c r="AO37" s="4" t="s">
        <v>140</v>
      </c>
      <c r="AP37" s="4" t="s">
        <v>141</v>
      </c>
      <c r="AQ37" s="4" t="s">
        <v>142</v>
      </c>
      <c r="AR37" s="4" t="s">
        <v>143</v>
      </c>
    </row>
    <row r="38" spans="1:44" x14ac:dyDescent="0.2">
      <c r="A38" s="8" t="s">
        <v>425</v>
      </c>
      <c r="B38" s="8" t="s">
        <v>426</v>
      </c>
      <c r="C38" s="8" t="s">
        <v>427</v>
      </c>
      <c r="D38" s="8" t="s">
        <v>428</v>
      </c>
      <c r="E38" s="8" t="s">
        <v>962</v>
      </c>
      <c r="F38" s="5">
        <v>560</v>
      </c>
      <c r="G38" s="5"/>
      <c r="H38" s="12"/>
      <c r="I38" s="5" t="s">
        <v>786</v>
      </c>
      <c r="J38" s="5" t="s">
        <v>786</v>
      </c>
      <c r="K38" s="5">
        <v>1488</v>
      </c>
      <c r="L38" s="5">
        <v>373</v>
      </c>
      <c r="M38" s="6" t="s">
        <v>776</v>
      </c>
      <c r="N38" s="6">
        <v>0.22500000000000001</v>
      </c>
      <c r="O38" s="8" t="s">
        <v>133</v>
      </c>
      <c r="P38" s="8" t="s">
        <v>41</v>
      </c>
      <c r="Q38" s="8" t="s">
        <v>780</v>
      </c>
      <c r="R38" s="8" t="s">
        <v>41</v>
      </c>
      <c r="S38" s="8">
        <v>5</v>
      </c>
      <c r="T38" s="8">
        <v>5</v>
      </c>
      <c r="U38" s="8">
        <v>326</v>
      </c>
      <c r="V38" s="8">
        <v>531</v>
      </c>
      <c r="W38" s="8">
        <f t="shared" si="2"/>
        <v>631</v>
      </c>
      <c r="X38" s="4" t="s">
        <v>767</v>
      </c>
      <c r="Y38" s="4"/>
      <c r="Z38" s="4" t="s">
        <v>768</v>
      </c>
      <c r="AA38" s="4">
        <v>5</v>
      </c>
      <c r="AB38" s="7">
        <v>32.5</v>
      </c>
      <c r="AC38" s="7">
        <f t="shared" si="3"/>
        <v>0.3186243272124783</v>
      </c>
      <c r="AD38" s="7">
        <v>102.001</v>
      </c>
      <c r="AE38" s="9">
        <v>45987</v>
      </c>
      <c r="AF38" s="9">
        <v>45987</v>
      </c>
      <c r="AG38" s="10">
        <v>0.55635416666666671</v>
      </c>
      <c r="AH38" s="4" t="s">
        <v>188</v>
      </c>
      <c r="AI38" s="4" t="s">
        <v>134</v>
      </c>
      <c r="AJ38" s="4" t="s">
        <v>135</v>
      </c>
      <c r="AK38" s="4" t="s">
        <v>136</v>
      </c>
      <c r="AL38" s="4" t="s">
        <v>137</v>
      </c>
      <c r="AM38" s="4" t="s">
        <v>138</v>
      </c>
      <c r="AN38" s="4" t="s">
        <v>139</v>
      </c>
      <c r="AO38" s="4" t="s">
        <v>140</v>
      </c>
      <c r="AP38" s="4" t="s">
        <v>141</v>
      </c>
      <c r="AQ38" s="4" t="s">
        <v>142</v>
      </c>
      <c r="AR38" s="4" t="s">
        <v>143</v>
      </c>
    </row>
    <row r="39" spans="1:44" x14ac:dyDescent="0.2">
      <c r="A39" s="8" t="s">
        <v>429</v>
      </c>
      <c r="B39" s="8" t="s">
        <v>430</v>
      </c>
      <c r="C39" s="8" t="s">
        <v>431</v>
      </c>
      <c r="D39" s="8" t="s">
        <v>432</v>
      </c>
      <c r="E39" s="8" t="s">
        <v>962</v>
      </c>
      <c r="F39" s="5">
        <v>618</v>
      </c>
      <c r="G39" s="5"/>
      <c r="H39" s="12"/>
      <c r="I39" s="5" t="s">
        <v>786</v>
      </c>
      <c r="J39" s="5" t="s">
        <v>786</v>
      </c>
      <c r="K39" s="5">
        <v>1488</v>
      </c>
      <c r="L39" s="5">
        <v>373</v>
      </c>
      <c r="M39" s="6" t="s">
        <v>776</v>
      </c>
      <c r="N39" s="6">
        <v>8.6999999999999994E-2</v>
      </c>
      <c r="O39" s="8" t="s">
        <v>133</v>
      </c>
      <c r="P39" s="8" t="s">
        <v>41</v>
      </c>
      <c r="Q39" s="8" t="s">
        <v>780</v>
      </c>
      <c r="R39" s="8" t="s">
        <v>41</v>
      </c>
      <c r="S39" s="8">
        <v>5</v>
      </c>
      <c r="T39" s="8">
        <v>5</v>
      </c>
      <c r="U39" s="8">
        <v>436</v>
      </c>
      <c r="V39" s="8">
        <v>592</v>
      </c>
      <c r="W39" s="8">
        <f t="shared" si="2"/>
        <v>692</v>
      </c>
      <c r="X39" s="4" t="s">
        <v>767</v>
      </c>
      <c r="Y39" s="4"/>
      <c r="Z39" s="4" t="s">
        <v>768</v>
      </c>
      <c r="AA39" s="4">
        <v>5</v>
      </c>
      <c r="AB39" s="7">
        <v>32.5</v>
      </c>
      <c r="AC39" s="7">
        <f t="shared" si="3"/>
        <v>0.3186243272124783</v>
      </c>
      <c r="AD39" s="7">
        <v>102.001</v>
      </c>
      <c r="AE39" s="9">
        <v>45987</v>
      </c>
      <c r="AF39" s="9">
        <v>45987</v>
      </c>
      <c r="AG39" s="10">
        <v>0.55620370370370376</v>
      </c>
      <c r="AH39" s="4" t="s">
        <v>188</v>
      </c>
      <c r="AI39" s="4" t="s">
        <v>134</v>
      </c>
      <c r="AJ39" s="4" t="s">
        <v>135</v>
      </c>
      <c r="AK39" s="4" t="s">
        <v>136</v>
      </c>
      <c r="AL39" s="4" t="s">
        <v>137</v>
      </c>
      <c r="AM39" s="4" t="s">
        <v>138</v>
      </c>
      <c r="AN39" s="4" t="s">
        <v>139</v>
      </c>
      <c r="AO39" s="4" t="s">
        <v>140</v>
      </c>
      <c r="AP39" s="4" t="s">
        <v>141</v>
      </c>
      <c r="AQ39" s="4" t="s">
        <v>142</v>
      </c>
      <c r="AR39" s="4" t="s">
        <v>143</v>
      </c>
    </row>
    <row r="40" spans="1:44" x14ac:dyDescent="0.2">
      <c r="A40" s="8" t="s">
        <v>437</v>
      </c>
      <c r="B40" s="8" t="s">
        <v>438</v>
      </c>
      <c r="C40" s="8" t="s">
        <v>439</v>
      </c>
      <c r="D40" s="8" t="s">
        <v>440</v>
      </c>
      <c r="E40" s="8" t="s">
        <v>962</v>
      </c>
      <c r="F40" s="5">
        <v>391</v>
      </c>
      <c r="G40" s="5"/>
      <c r="H40" s="12"/>
      <c r="I40" s="5" t="s">
        <v>786</v>
      </c>
      <c r="J40" s="5" t="s">
        <v>786</v>
      </c>
      <c r="K40" s="5">
        <v>1488</v>
      </c>
      <c r="L40" s="5">
        <v>373</v>
      </c>
      <c r="M40" s="6" t="s">
        <v>776</v>
      </c>
      <c r="N40" s="6">
        <v>0.28699999999999998</v>
      </c>
      <c r="O40" s="8" t="s">
        <v>133</v>
      </c>
      <c r="P40" s="8" t="s">
        <v>25</v>
      </c>
      <c r="Q40" s="8" t="s">
        <v>780</v>
      </c>
      <c r="R40" s="8" t="s">
        <v>25</v>
      </c>
      <c r="S40" s="8">
        <v>5</v>
      </c>
      <c r="T40" s="8">
        <v>5</v>
      </c>
      <c r="U40" s="8">
        <v>332</v>
      </c>
      <c r="V40" s="8">
        <v>362</v>
      </c>
      <c r="W40" s="8">
        <f t="shared" si="2"/>
        <v>462</v>
      </c>
      <c r="X40" s="4" t="s">
        <v>767</v>
      </c>
      <c r="Y40" s="4"/>
      <c r="Z40" s="4" t="s">
        <v>768</v>
      </c>
      <c r="AA40" s="4">
        <v>5</v>
      </c>
      <c r="AB40" s="7">
        <v>32.5</v>
      </c>
      <c r="AC40" s="7">
        <f t="shared" si="3"/>
        <v>0.3186243272124783</v>
      </c>
      <c r="AD40" s="7">
        <v>102.001</v>
      </c>
      <c r="AE40" s="9">
        <v>45987</v>
      </c>
      <c r="AF40" s="9">
        <v>45987</v>
      </c>
      <c r="AG40" s="10">
        <v>0.50912037037037039</v>
      </c>
      <c r="AH40" s="4" t="s">
        <v>188</v>
      </c>
      <c r="AI40" s="4" t="s">
        <v>134</v>
      </c>
      <c r="AJ40" s="4" t="s">
        <v>135</v>
      </c>
      <c r="AK40" s="4" t="s">
        <v>136</v>
      </c>
      <c r="AL40" s="4" t="s">
        <v>137</v>
      </c>
      <c r="AM40" s="4" t="s">
        <v>138</v>
      </c>
      <c r="AN40" s="4" t="s">
        <v>139</v>
      </c>
      <c r="AO40" s="4" t="s">
        <v>140</v>
      </c>
      <c r="AP40" s="4" t="s">
        <v>141</v>
      </c>
      <c r="AQ40" s="4" t="s">
        <v>142</v>
      </c>
      <c r="AR40" s="4" t="s">
        <v>143</v>
      </c>
    </row>
    <row r="41" spans="1:44" x14ac:dyDescent="0.2">
      <c r="A41" s="8" t="s">
        <v>441</v>
      </c>
      <c r="B41" s="8" t="s">
        <v>442</v>
      </c>
      <c r="C41" s="8" t="s">
        <v>443</v>
      </c>
      <c r="D41" s="8" t="s">
        <v>444</v>
      </c>
      <c r="E41" s="8" t="s">
        <v>962</v>
      </c>
      <c r="F41" s="5">
        <v>617</v>
      </c>
      <c r="G41" s="5"/>
      <c r="H41" s="12"/>
      <c r="I41" s="5" t="s">
        <v>785</v>
      </c>
      <c r="J41" s="5" t="s">
        <v>785</v>
      </c>
      <c r="K41" s="5">
        <v>1488</v>
      </c>
      <c r="L41" s="5">
        <v>373</v>
      </c>
      <c r="M41" s="6" t="s">
        <v>776</v>
      </c>
      <c r="N41" s="6">
        <v>0.17499999999999999</v>
      </c>
      <c r="O41" s="8" t="s">
        <v>133</v>
      </c>
      <c r="P41" s="8" t="s">
        <v>25</v>
      </c>
      <c r="Q41" s="8" t="s">
        <v>780</v>
      </c>
      <c r="R41" s="8" t="s">
        <v>25</v>
      </c>
      <c r="S41" s="8">
        <v>5</v>
      </c>
      <c r="T41" s="8">
        <v>5</v>
      </c>
      <c r="U41" s="8">
        <v>552</v>
      </c>
      <c r="V41" s="8">
        <v>593</v>
      </c>
      <c r="W41" s="8">
        <f t="shared" si="2"/>
        <v>693</v>
      </c>
      <c r="X41" s="4" t="s">
        <v>767</v>
      </c>
      <c r="Y41" s="4"/>
      <c r="Z41" s="4" t="s">
        <v>768</v>
      </c>
      <c r="AA41" s="4">
        <v>5</v>
      </c>
      <c r="AB41" s="7">
        <v>32.5</v>
      </c>
      <c r="AC41" s="7">
        <f t="shared" si="3"/>
        <v>0.3186243272124783</v>
      </c>
      <c r="AD41" s="7">
        <v>102.001</v>
      </c>
      <c r="AE41" s="9">
        <v>45987</v>
      </c>
      <c r="AF41" s="9">
        <v>45987</v>
      </c>
      <c r="AG41" s="10">
        <v>0.50937500000000002</v>
      </c>
      <c r="AH41" s="4" t="s">
        <v>188</v>
      </c>
      <c r="AI41" s="4" t="s">
        <v>134</v>
      </c>
      <c r="AJ41" s="4" t="s">
        <v>135</v>
      </c>
      <c r="AK41" s="4" t="s">
        <v>136</v>
      </c>
      <c r="AL41" s="4" t="s">
        <v>137</v>
      </c>
      <c r="AM41" s="4" t="s">
        <v>138</v>
      </c>
      <c r="AN41" s="4" t="s">
        <v>139</v>
      </c>
      <c r="AO41" s="4" t="s">
        <v>140</v>
      </c>
      <c r="AP41" s="4" t="s">
        <v>141</v>
      </c>
      <c r="AQ41" s="4" t="s">
        <v>142</v>
      </c>
      <c r="AR41" s="4" t="s">
        <v>143</v>
      </c>
    </row>
    <row r="42" spans="1:44" x14ac:dyDescent="0.2">
      <c r="A42" s="8" t="s">
        <v>445</v>
      </c>
      <c r="B42" s="8" t="s">
        <v>446</v>
      </c>
      <c r="C42" s="8" t="s">
        <v>447</v>
      </c>
      <c r="D42" s="8" t="s">
        <v>448</v>
      </c>
      <c r="E42" s="8" t="s">
        <v>962</v>
      </c>
      <c r="F42" s="5">
        <v>587</v>
      </c>
      <c r="G42" s="5"/>
      <c r="H42" s="12"/>
      <c r="I42" s="5" t="s">
        <v>785</v>
      </c>
      <c r="J42" s="5" t="s">
        <v>785</v>
      </c>
      <c r="K42" s="5">
        <v>1488</v>
      </c>
      <c r="L42" s="5">
        <v>373</v>
      </c>
      <c r="M42" s="6" t="s">
        <v>776</v>
      </c>
      <c r="N42" s="6">
        <v>0.216</v>
      </c>
      <c r="O42" s="8" t="s">
        <v>133</v>
      </c>
      <c r="P42" s="8" t="s">
        <v>25</v>
      </c>
      <c r="Q42" s="8" t="s">
        <v>780</v>
      </c>
      <c r="R42" s="8" t="s">
        <v>25</v>
      </c>
      <c r="S42" s="8">
        <v>5</v>
      </c>
      <c r="T42" s="8">
        <v>5</v>
      </c>
      <c r="U42" s="8">
        <v>469</v>
      </c>
      <c r="V42" s="8">
        <v>558</v>
      </c>
      <c r="W42" s="8">
        <f t="shared" si="2"/>
        <v>658</v>
      </c>
      <c r="X42" s="4" t="s">
        <v>767</v>
      </c>
      <c r="Y42" s="4"/>
      <c r="Z42" s="4" t="s">
        <v>768</v>
      </c>
      <c r="AA42" s="4">
        <v>5</v>
      </c>
      <c r="AB42" s="7">
        <v>32.5</v>
      </c>
      <c r="AC42" s="7">
        <f t="shared" si="3"/>
        <v>0.3186243272124783</v>
      </c>
      <c r="AD42" s="7">
        <v>102.001</v>
      </c>
      <c r="AE42" s="9">
        <v>45987</v>
      </c>
      <c r="AF42" s="9">
        <v>45987</v>
      </c>
      <c r="AG42" s="10">
        <v>0.51037037037037036</v>
      </c>
      <c r="AH42" s="4" t="s">
        <v>188</v>
      </c>
      <c r="AI42" s="4" t="s">
        <v>134</v>
      </c>
      <c r="AJ42" s="4" t="s">
        <v>135</v>
      </c>
      <c r="AK42" s="4" t="s">
        <v>136</v>
      </c>
      <c r="AL42" s="4" t="s">
        <v>137</v>
      </c>
      <c r="AM42" s="4" t="s">
        <v>138</v>
      </c>
      <c r="AN42" s="4" t="s">
        <v>139</v>
      </c>
      <c r="AO42" s="4" t="s">
        <v>140</v>
      </c>
      <c r="AP42" s="4" t="s">
        <v>141</v>
      </c>
      <c r="AQ42" s="4" t="s">
        <v>142</v>
      </c>
      <c r="AR42" s="4" t="s">
        <v>143</v>
      </c>
    </row>
    <row r="43" spans="1:44" x14ac:dyDescent="0.2">
      <c r="A43" s="8" t="s">
        <v>449</v>
      </c>
      <c r="B43" s="8" t="s">
        <v>450</v>
      </c>
      <c r="C43" s="8" t="s">
        <v>451</v>
      </c>
      <c r="D43" s="8" t="s">
        <v>452</v>
      </c>
      <c r="E43" s="8" t="s">
        <v>962</v>
      </c>
      <c r="F43" s="5">
        <v>451</v>
      </c>
      <c r="G43" s="5"/>
      <c r="H43" s="12"/>
      <c r="I43" s="5" t="s">
        <v>785</v>
      </c>
      <c r="J43" s="5" t="s">
        <v>785</v>
      </c>
      <c r="K43" s="5">
        <v>1488</v>
      </c>
      <c r="L43" s="5">
        <v>373</v>
      </c>
      <c r="M43" s="6" t="s">
        <v>776</v>
      </c>
      <c r="N43" s="6">
        <v>0.17899999999999999</v>
      </c>
      <c r="O43" s="8" t="s">
        <v>133</v>
      </c>
      <c r="P43" s="8" t="s">
        <v>25</v>
      </c>
      <c r="Q43" s="8" t="s">
        <v>780</v>
      </c>
      <c r="R43" s="8" t="s">
        <v>25</v>
      </c>
      <c r="S43" s="8">
        <v>5</v>
      </c>
      <c r="T43" s="8">
        <v>5</v>
      </c>
      <c r="U43" s="8">
        <v>396</v>
      </c>
      <c r="V43" s="8">
        <v>434</v>
      </c>
      <c r="W43" s="8">
        <f t="shared" si="2"/>
        <v>534</v>
      </c>
      <c r="X43" s="4" t="s">
        <v>767</v>
      </c>
      <c r="Y43" s="4"/>
      <c r="Z43" s="4" t="s">
        <v>768</v>
      </c>
      <c r="AA43" s="4">
        <v>5</v>
      </c>
      <c r="AB43" s="7">
        <v>32.5</v>
      </c>
      <c r="AC43" s="7">
        <f t="shared" si="3"/>
        <v>0.3186243272124783</v>
      </c>
      <c r="AD43" s="7">
        <v>102.001</v>
      </c>
      <c r="AE43" s="9">
        <v>45987</v>
      </c>
      <c r="AF43" s="9">
        <v>45987</v>
      </c>
      <c r="AG43" s="10">
        <v>0.51108796296296299</v>
      </c>
      <c r="AH43" s="4" t="s">
        <v>188</v>
      </c>
      <c r="AI43" s="4" t="s">
        <v>134</v>
      </c>
      <c r="AJ43" s="4" t="s">
        <v>135</v>
      </c>
      <c r="AK43" s="4" t="s">
        <v>136</v>
      </c>
      <c r="AL43" s="4" t="s">
        <v>137</v>
      </c>
      <c r="AM43" s="4" t="s">
        <v>138</v>
      </c>
      <c r="AN43" s="4" t="s">
        <v>139</v>
      </c>
      <c r="AO43" s="4" t="s">
        <v>140</v>
      </c>
      <c r="AP43" s="4" t="s">
        <v>141</v>
      </c>
      <c r="AQ43" s="4" t="s">
        <v>142</v>
      </c>
      <c r="AR43" s="4" t="s">
        <v>143</v>
      </c>
    </row>
    <row r="44" spans="1:44" x14ac:dyDescent="0.2">
      <c r="A44" s="8" t="s">
        <v>453</v>
      </c>
      <c r="B44" s="8" t="s">
        <v>454</v>
      </c>
      <c r="C44" s="8" t="s">
        <v>455</v>
      </c>
      <c r="D44" s="8" t="s">
        <v>456</v>
      </c>
      <c r="E44" s="8" t="s">
        <v>962</v>
      </c>
      <c r="F44" s="5">
        <v>583</v>
      </c>
      <c r="G44" s="5"/>
      <c r="H44" s="12"/>
      <c r="I44" s="5" t="s">
        <v>785</v>
      </c>
      <c r="J44" s="5" t="s">
        <v>785</v>
      </c>
      <c r="K44" s="5">
        <v>1488</v>
      </c>
      <c r="L44" s="5">
        <v>373</v>
      </c>
      <c r="M44" s="6" t="s">
        <v>776</v>
      </c>
      <c r="N44" s="6">
        <v>0.186</v>
      </c>
      <c r="O44" s="8" t="s">
        <v>133</v>
      </c>
      <c r="P44" s="8" t="s">
        <v>25</v>
      </c>
      <c r="Q44" s="8" t="s">
        <v>780</v>
      </c>
      <c r="R44" s="8" t="s">
        <v>25</v>
      </c>
      <c r="S44" s="8">
        <v>5</v>
      </c>
      <c r="T44" s="8">
        <v>5</v>
      </c>
      <c r="U44" s="8">
        <v>528</v>
      </c>
      <c r="V44" s="8">
        <v>561</v>
      </c>
      <c r="W44" s="8">
        <f t="shared" si="2"/>
        <v>661</v>
      </c>
      <c r="X44" s="4" t="s">
        <v>767</v>
      </c>
      <c r="Y44" s="4"/>
      <c r="Z44" s="4" t="s">
        <v>768</v>
      </c>
      <c r="AA44" s="4">
        <v>5</v>
      </c>
      <c r="AB44" s="7">
        <v>32.5</v>
      </c>
      <c r="AC44" s="7">
        <f t="shared" si="3"/>
        <v>0.3186243272124783</v>
      </c>
      <c r="AD44" s="7">
        <v>102.001</v>
      </c>
      <c r="AE44" s="9">
        <v>45987</v>
      </c>
      <c r="AF44" s="9">
        <v>45987</v>
      </c>
      <c r="AG44" s="10">
        <v>0.51140046296296293</v>
      </c>
      <c r="AH44" s="4" t="s">
        <v>188</v>
      </c>
      <c r="AI44" s="4" t="s">
        <v>134</v>
      </c>
      <c r="AJ44" s="4" t="s">
        <v>135</v>
      </c>
      <c r="AK44" s="4" t="s">
        <v>136</v>
      </c>
      <c r="AL44" s="4" t="s">
        <v>137</v>
      </c>
      <c r="AM44" s="4" t="s">
        <v>138</v>
      </c>
      <c r="AN44" s="4" t="s">
        <v>139</v>
      </c>
      <c r="AO44" s="4" t="s">
        <v>140</v>
      </c>
      <c r="AP44" s="4" t="s">
        <v>141</v>
      </c>
      <c r="AQ44" s="4" t="s">
        <v>142</v>
      </c>
      <c r="AR44" s="4" t="s">
        <v>143</v>
      </c>
    </row>
    <row r="45" spans="1:44" x14ac:dyDescent="0.2">
      <c r="A45" s="8" t="s">
        <v>457</v>
      </c>
      <c r="B45" s="8" t="s">
        <v>458</v>
      </c>
      <c r="C45" s="8" t="s">
        <v>459</v>
      </c>
      <c r="D45" s="8" t="s">
        <v>460</v>
      </c>
      <c r="E45" s="8" t="s">
        <v>962</v>
      </c>
      <c r="F45" s="14"/>
      <c r="G45" s="14"/>
      <c r="H45" s="15" t="s">
        <v>968</v>
      </c>
      <c r="I45" s="5" t="s">
        <v>785</v>
      </c>
      <c r="J45" s="5" t="s">
        <v>785</v>
      </c>
      <c r="K45" s="5">
        <v>1488</v>
      </c>
      <c r="L45" s="5">
        <v>373</v>
      </c>
      <c r="M45" s="6" t="s">
        <v>776</v>
      </c>
      <c r="N45" s="6">
        <v>0.23599999999999999</v>
      </c>
      <c r="O45" s="8" t="s">
        <v>133</v>
      </c>
      <c r="P45" s="8" t="s">
        <v>25</v>
      </c>
      <c r="Q45" s="8" t="s">
        <v>780</v>
      </c>
      <c r="R45" s="8" t="s">
        <v>25</v>
      </c>
      <c r="S45" s="8">
        <v>5</v>
      </c>
      <c r="T45" s="8">
        <v>5</v>
      </c>
      <c r="U45" s="8">
        <v>48</v>
      </c>
      <c r="V45" s="8">
        <v>116</v>
      </c>
      <c r="W45" s="8">
        <f t="shared" si="2"/>
        <v>216</v>
      </c>
      <c r="X45" s="4" t="s">
        <v>767</v>
      </c>
      <c r="Y45" s="4"/>
      <c r="Z45" s="4" t="s">
        <v>768</v>
      </c>
      <c r="AA45" s="4">
        <v>5</v>
      </c>
      <c r="AB45" s="7">
        <v>32.5</v>
      </c>
      <c r="AC45" s="7">
        <f t="shared" si="3"/>
        <v>0.3186243272124783</v>
      </c>
      <c r="AD45" s="7">
        <v>102.001</v>
      </c>
      <c r="AE45" s="9">
        <v>45987</v>
      </c>
      <c r="AF45" s="9">
        <v>45987</v>
      </c>
      <c r="AG45" s="10">
        <v>0.51253472222222218</v>
      </c>
      <c r="AH45" s="4" t="s">
        <v>188</v>
      </c>
      <c r="AI45" s="4" t="s">
        <v>134</v>
      </c>
      <c r="AJ45" s="4" t="s">
        <v>135</v>
      </c>
      <c r="AK45" s="4" t="s">
        <v>136</v>
      </c>
      <c r="AL45" s="4" t="s">
        <v>137</v>
      </c>
      <c r="AM45" s="4" t="s">
        <v>138</v>
      </c>
      <c r="AN45" s="4" t="s">
        <v>139</v>
      </c>
      <c r="AO45" s="4" t="s">
        <v>140</v>
      </c>
      <c r="AP45" s="4" t="s">
        <v>141</v>
      </c>
      <c r="AQ45" s="4" t="s">
        <v>142</v>
      </c>
      <c r="AR45" s="4" t="s">
        <v>143</v>
      </c>
    </row>
    <row r="46" spans="1:44" x14ac:dyDescent="0.2">
      <c r="A46" s="8" t="s">
        <v>461</v>
      </c>
      <c r="B46" s="8" t="s">
        <v>462</v>
      </c>
      <c r="C46" s="8" t="s">
        <v>463</v>
      </c>
      <c r="D46" s="8" t="s">
        <v>464</v>
      </c>
      <c r="E46" s="8" t="s">
        <v>962</v>
      </c>
      <c r="F46" s="5">
        <v>450</v>
      </c>
      <c r="G46" s="5"/>
      <c r="H46" s="12"/>
      <c r="I46" s="5" t="s">
        <v>785</v>
      </c>
      <c r="J46" s="5" t="s">
        <v>785</v>
      </c>
      <c r="K46" s="5">
        <v>1488</v>
      </c>
      <c r="L46" s="5">
        <v>373</v>
      </c>
      <c r="M46" s="6" t="s">
        <v>776</v>
      </c>
      <c r="N46" s="6">
        <v>0.245</v>
      </c>
      <c r="O46" s="8" t="s">
        <v>133</v>
      </c>
      <c r="P46" s="8" t="s">
        <v>25</v>
      </c>
      <c r="Q46" s="8" t="s">
        <v>780</v>
      </c>
      <c r="R46" s="8" t="s">
        <v>25</v>
      </c>
      <c r="S46" s="8">
        <v>5</v>
      </c>
      <c r="T46" s="8">
        <v>5</v>
      </c>
      <c r="U46" s="8">
        <v>336</v>
      </c>
      <c r="V46" s="8">
        <v>402</v>
      </c>
      <c r="W46" s="8">
        <f t="shared" si="2"/>
        <v>502</v>
      </c>
      <c r="X46" s="4" t="s">
        <v>767</v>
      </c>
      <c r="Y46" s="4"/>
      <c r="Z46" s="4" t="s">
        <v>768</v>
      </c>
      <c r="AA46" s="4">
        <v>5</v>
      </c>
      <c r="AB46" s="7">
        <v>32.5</v>
      </c>
      <c r="AC46" s="7">
        <f t="shared" si="3"/>
        <v>0.3186243272124783</v>
      </c>
      <c r="AD46" s="7">
        <v>102.001</v>
      </c>
      <c r="AE46" s="9">
        <v>45987</v>
      </c>
      <c r="AF46" s="9">
        <v>45987</v>
      </c>
      <c r="AG46" s="10">
        <v>0.51267361111111109</v>
      </c>
      <c r="AH46" s="4" t="s">
        <v>188</v>
      </c>
      <c r="AI46" s="4" t="s">
        <v>134</v>
      </c>
      <c r="AJ46" s="4" t="s">
        <v>135</v>
      </c>
      <c r="AK46" s="4" t="s">
        <v>136</v>
      </c>
      <c r="AL46" s="4" t="s">
        <v>137</v>
      </c>
      <c r="AM46" s="4" t="s">
        <v>138</v>
      </c>
      <c r="AN46" s="4" t="s">
        <v>139</v>
      </c>
      <c r="AO46" s="4" t="s">
        <v>140</v>
      </c>
      <c r="AP46" s="4" t="s">
        <v>141</v>
      </c>
      <c r="AQ46" s="4" t="s">
        <v>142</v>
      </c>
      <c r="AR46" s="4" t="s">
        <v>143</v>
      </c>
    </row>
    <row r="47" spans="1:44" x14ac:dyDescent="0.2">
      <c r="A47" s="8" t="s">
        <v>465</v>
      </c>
      <c r="B47" s="8" t="s">
        <v>466</v>
      </c>
      <c r="C47" s="8" t="s">
        <v>467</v>
      </c>
      <c r="D47" s="8" t="s">
        <v>468</v>
      </c>
      <c r="E47" s="8" t="s">
        <v>962</v>
      </c>
      <c r="F47" s="14"/>
      <c r="G47" s="14"/>
      <c r="H47" s="15" t="s">
        <v>968</v>
      </c>
      <c r="I47" s="5" t="s">
        <v>785</v>
      </c>
      <c r="J47" s="5" t="s">
        <v>785</v>
      </c>
      <c r="K47" s="5">
        <v>1488</v>
      </c>
      <c r="L47" s="5">
        <v>373</v>
      </c>
      <c r="M47" s="6" t="s">
        <v>776</v>
      </c>
      <c r="N47" s="6">
        <v>0.35199999999999998</v>
      </c>
      <c r="O47" s="8" t="s">
        <v>133</v>
      </c>
      <c r="P47" s="8" t="s">
        <v>25</v>
      </c>
      <c r="Q47" s="8" t="s">
        <v>780</v>
      </c>
      <c r="R47" s="8" t="s">
        <v>25</v>
      </c>
      <c r="S47" s="8">
        <v>5</v>
      </c>
      <c r="T47" s="8">
        <v>5</v>
      </c>
      <c r="U47" s="8">
        <v>499</v>
      </c>
      <c r="V47" s="8">
        <v>540</v>
      </c>
      <c r="W47" s="8">
        <f t="shared" si="2"/>
        <v>640</v>
      </c>
      <c r="X47" s="4" t="s">
        <v>767</v>
      </c>
      <c r="Y47" s="4"/>
      <c r="Z47" s="4" t="s">
        <v>768</v>
      </c>
      <c r="AA47" s="4">
        <v>5</v>
      </c>
      <c r="AB47" s="7">
        <v>32.5</v>
      </c>
      <c r="AC47" s="7">
        <f t="shared" si="3"/>
        <v>0.3186243272124783</v>
      </c>
      <c r="AD47" s="7">
        <v>102.001</v>
      </c>
      <c r="AE47" s="9">
        <v>45987</v>
      </c>
      <c r="AF47" s="9">
        <v>45987</v>
      </c>
      <c r="AG47" s="10">
        <v>0.51287037037037042</v>
      </c>
      <c r="AH47" s="4" t="s">
        <v>188</v>
      </c>
      <c r="AI47" s="4" t="s">
        <v>134</v>
      </c>
      <c r="AJ47" s="4" t="s">
        <v>135</v>
      </c>
      <c r="AK47" s="4" t="s">
        <v>136</v>
      </c>
      <c r="AL47" s="4" t="s">
        <v>137</v>
      </c>
      <c r="AM47" s="4" t="s">
        <v>138</v>
      </c>
      <c r="AN47" s="4" t="s">
        <v>139</v>
      </c>
      <c r="AO47" s="4" t="s">
        <v>140</v>
      </c>
      <c r="AP47" s="4" t="s">
        <v>141</v>
      </c>
      <c r="AQ47" s="4" t="s">
        <v>142</v>
      </c>
      <c r="AR47" s="4" t="s">
        <v>143</v>
      </c>
    </row>
    <row r="48" spans="1:44" x14ac:dyDescent="0.2">
      <c r="A48" s="8" t="s">
        <v>469</v>
      </c>
      <c r="B48" s="8" t="s">
        <v>470</v>
      </c>
      <c r="C48" s="8" t="s">
        <v>471</v>
      </c>
      <c r="D48" s="8" t="s">
        <v>472</v>
      </c>
      <c r="E48" s="8" t="s">
        <v>962</v>
      </c>
      <c r="F48" s="14"/>
      <c r="G48" s="14"/>
      <c r="H48" s="15" t="s">
        <v>968</v>
      </c>
      <c r="I48" s="5" t="s">
        <v>785</v>
      </c>
      <c r="J48" s="5" t="s">
        <v>785</v>
      </c>
      <c r="K48" s="5">
        <v>1488</v>
      </c>
      <c r="L48" s="5">
        <v>373</v>
      </c>
      <c r="M48" s="6" t="s">
        <v>776</v>
      </c>
      <c r="N48" s="6">
        <v>0.23</v>
      </c>
      <c r="O48" s="8" t="s">
        <v>133</v>
      </c>
      <c r="P48" s="8" t="s">
        <v>25</v>
      </c>
      <c r="Q48" s="8" t="s">
        <v>780</v>
      </c>
      <c r="R48" s="8" t="s">
        <v>25</v>
      </c>
      <c r="S48" s="8">
        <v>5</v>
      </c>
      <c r="T48" s="8">
        <v>5</v>
      </c>
      <c r="U48" s="8">
        <v>348</v>
      </c>
      <c r="V48" s="8">
        <v>396</v>
      </c>
      <c r="W48" s="8">
        <f t="shared" si="2"/>
        <v>496</v>
      </c>
      <c r="X48" s="4" t="s">
        <v>767</v>
      </c>
      <c r="Y48" s="4"/>
      <c r="Z48" s="4" t="s">
        <v>768</v>
      </c>
      <c r="AA48" s="4">
        <v>5</v>
      </c>
      <c r="AB48" s="7">
        <v>32.5</v>
      </c>
      <c r="AC48" s="7">
        <f t="shared" si="3"/>
        <v>0.3186243272124783</v>
      </c>
      <c r="AD48" s="7">
        <v>102.001</v>
      </c>
      <c r="AE48" s="9">
        <v>45987</v>
      </c>
      <c r="AF48" s="9">
        <v>45987</v>
      </c>
      <c r="AG48" s="10">
        <v>0.51380787037037035</v>
      </c>
      <c r="AH48" s="4" t="s">
        <v>188</v>
      </c>
      <c r="AI48" s="4" t="s">
        <v>134</v>
      </c>
      <c r="AJ48" s="4" t="s">
        <v>135</v>
      </c>
      <c r="AK48" s="4" t="s">
        <v>136</v>
      </c>
      <c r="AL48" s="4" t="s">
        <v>137</v>
      </c>
      <c r="AM48" s="4" t="s">
        <v>138</v>
      </c>
      <c r="AN48" s="4" t="s">
        <v>139</v>
      </c>
      <c r="AO48" s="4" t="s">
        <v>140</v>
      </c>
      <c r="AP48" s="4" t="s">
        <v>141</v>
      </c>
      <c r="AQ48" s="4" t="s">
        <v>142</v>
      </c>
      <c r="AR48" s="4" t="s">
        <v>143</v>
      </c>
    </row>
    <row r="49" spans="1:44" x14ac:dyDescent="0.2">
      <c r="A49" s="8" t="s">
        <v>473</v>
      </c>
      <c r="B49" s="8" t="s">
        <v>474</v>
      </c>
      <c r="C49" s="8" t="s">
        <v>475</v>
      </c>
      <c r="D49" s="8" t="s">
        <v>476</v>
      </c>
      <c r="E49" s="8" t="s">
        <v>962</v>
      </c>
      <c r="F49" s="14"/>
      <c r="G49" s="14"/>
      <c r="H49" s="15" t="s">
        <v>968</v>
      </c>
      <c r="I49" s="5" t="s">
        <v>785</v>
      </c>
      <c r="J49" s="5" t="s">
        <v>785</v>
      </c>
      <c r="K49" s="5">
        <v>1488</v>
      </c>
      <c r="L49" s="5">
        <v>373</v>
      </c>
      <c r="M49" s="6" t="s">
        <v>776</v>
      </c>
      <c r="N49" s="6">
        <v>0.06</v>
      </c>
      <c r="O49" s="8" t="s">
        <v>133</v>
      </c>
      <c r="P49" s="8" t="s">
        <v>25</v>
      </c>
      <c r="Q49" s="8" t="s">
        <v>780</v>
      </c>
      <c r="R49" s="8" t="s">
        <v>25</v>
      </c>
      <c r="S49" s="8">
        <v>5</v>
      </c>
      <c r="T49" s="8">
        <v>5</v>
      </c>
      <c r="U49" s="8">
        <v>427</v>
      </c>
      <c r="V49" s="8">
        <v>486</v>
      </c>
      <c r="W49" s="8">
        <f t="shared" si="2"/>
        <v>586</v>
      </c>
      <c r="X49" s="4" t="s">
        <v>767</v>
      </c>
      <c r="Y49" s="4"/>
      <c r="Z49" s="4" t="s">
        <v>768</v>
      </c>
      <c r="AA49" s="4">
        <v>5</v>
      </c>
      <c r="AB49" s="7">
        <v>32.5</v>
      </c>
      <c r="AC49" s="7">
        <f t="shared" si="3"/>
        <v>0.3186243272124783</v>
      </c>
      <c r="AD49" s="7">
        <v>102.001</v>
      </c>
      <c r="AE49" s="9">
        <v>45987</v>
      </c>
      <c r="AF49" s="9">
        <v>45987</v>
      </c>
      <c r="AG49" s="10">
        <v>0.51408564814814817</v>
      </c>
      <c r="AH49" s="4" t="s">
        <v>188</v>
      </c>
      <c r="AI49" s="4" t="s">
        <v>134</v>
      </c>
      <c r="AJ49" s="4" t="s">
        <v>135</v>
      </c>
      <c r="AK49" s="4" t="s">
        <v>136</v>
      </c>
      <c r="AL49" s="4" t="s">
        <v>137</v>
      </c>
      <c r="AM49" s="4" t="s">
        <v>138</v>
      </c>
      <c r="AN49" s="4" t="s">
        <v>139</v>
      </c>
      <c r="AO49" s="4" t="s">
        <v>140</v>
      </c>
      <c r="AP49" s="4" t="s">
        <v>141</v>
      </c>
      <c r="AQ49" s="4" t="s">
        <v>142</v>
      </c>
      <c r="AR49" s="4" t="s">
        <v>143</v>
      </c>
    </row>
    <row r="50" spans="1:44" x14ac:dyDescent="0.2">
      <c r="A50" s="8" t="s">
        <v>489</v>
      </c>
      <c r="B50" s="8" t="s">
        <v>490</v>
      </c>
      <c r="C50" s="8" t="s">
        <v>491</v>
      </c>
      <c r="D50" s="8" t="s">
        <v>492</v>
      </c>
      <c r="E50" s="8" t="s">
        <v>962</v>
      </c>
      <c r="F50" s="5">
        <v>500</v>
      </c>
      <c r="G50" s="5"/>
      <c r="H50" s="12"/>
      <c r="I50" s="5" t="s">
        <v>785</v>
      </c>
      <c r="J50" s="5" t="s">
        <v>786</v>
      </c>
      <c r="K50" s="5">
        <v>1488</v>
      </c>
      <c r="L50" s="5">
        <v>373</v>
      </c>
      <c r="M50" s="6" t="s">
        <v>776</v>
      </c>
      <c r="N50" s="6">
        <v>0.106</v>
      </c>
      <c r="O50" s="8" t="s">
        <v>133</v>
      </c>
      <c r="P50" s="8" t="s">
        <v>25</v>
      </c>
      <c r="Q50" s="8" t="s">
        <v>780</v>
      </c>
      <c r="R50" s="8" t="s">
        <v>25</v>
      </c>
      <c r="S50" s="8">
        <v>5</v>
      </c>
      <c r="T50" s="8">
        <v>5</v>
      </c>
      <c r="U50" s="8">
        <v>327</v>
      </c>
      <c r="V50" s="8">
        <v>480</v>
      </c>
      <c r="W50" s="8">
        <f t="shared" si="2"/>
        <v>580</v>
      </c>
      <c r="X50" s="4" t="s">
        <v>767</v>
      </c>
      <c r="Y50" s="4"/>
      <c r="Z50" s="4" t="s">
        <v>768</v>
      </c>
      <c r="AA50" s="4">
        <v>5</v>
      </c>
      <c r="AB50" s="7">
        <v>32.5</v>
      </c>
      <c r="AC50" s="7">
        <f t="shared" si="3"/>
        <v>0.3186243272124783</v>
      </c>
      <c r="AD50" s="7">
        <v>102.001</v>
      </c>
      <c r="AE50" s="9">
        <v>45987</v>
      </c>
      <c r="AF50" s="9">
        <v>45987</v>
      </c>
      <c r="AG50" s="10">
        <v>0.50896990740740744</v>
      </c>
      <c r="AH50" s="4" t="s">
        <v>188</v>
      </c>
      <c r="AI50" s="4" t="s">
        <v>134</v>
      </c>
      <c r="AJ50" s="4" t="s">
        <v>135</v>
      </c>
      <c r="AK50" s="4" t="s">
        <v>136</v>
      </c>
      <c r="AL50" s="4" t="s">
        <v>137</v>
      </c>
      <c r="AM50" s="4" t="s">
        <v>138</v>
      </c>
      <c r="AN50" s="4" t="s">
        <v>139</v>
      </c>
      <c r="AO50" s="4" t="s">
        <v>140</v>
      </c>
      <c r="AP50" s="4" t="s">
        <v>141</v>
      </c>
      <c r="AQ50" s="4" t="s">
        <v>142</v>
      </c>
      <c r="AR50" s="4" t="s">
        <v>143</v>
      </c>
    </row>
    <row r="51" spans="1:44" x14ac:dyDescent="0.2">
      <c r="A51" s="8" t="s">
        <v>517</v>
      </c>
      <c r="B51" s="8" t="s">
        <v>518</v>
      </c>
      <c r="C51" s="8" t="s">
        <v>519</v>
      </c>
      <c r="D51" s="8" t="s">
        <v>520</v>
      </c>
      <c r="E51" s="8" t="s">
        <v>962</v>
      </c>
      <c r="F51" s="5">
        <v>589</v>
      </c>
      <c r="G51" s="5"/>
      <c r="H51" s="12"/>
      <c r="I51" s="5" t="s">
        <v>785</v>
      </c>
      <c r="J51" s="5" t="s">
        <v>785</v>
      </c>
      <c r="K51" s="5">
        <v>1488</v>
      </c>
      <c r="L51" s="5">
        <v>373</v>
      </c>
      <c r="M51" s="6" t="s">
        <v>776</v>
      </c>
      <c r="N51" s="6">
        <v>8.4000000000000005E-2</v>
      </c>
      <c r="O51" s="8" t="s">
        <v>133</v>
      </c>
      <c r="P51" s="8" t="s">
        <v>41</v>
      </c>
      <c r="Q51" s="8" t="s">
        <v>780</v>
      </c>
      <c r="R51" s="8" t="s">
        <v>41</v>
      </c>
      <c r="S51" s="8">
        <v>5</v>
      </c>
      <c r="T51" s="8">
        <v>5</v>
      </c>
      <c r="U51" s="8">
        <v>0</v>
      </c>
      <c r="V51" s="8">
        <v>538</v>
      </c>
      <c r="W51" s="8">
        <f t="shared" si="2"/>
        <v>638</v>
      </c>
      <c r="X51" s="4" t="s">
        <v>767</v>
      </c>
      <c r="Y51" s="4"/>
      <c r="Z51" s="4" t="s">
        <v>768</v>
      </c>
      <c r="AA51" s="4">
        <v>5</v>
      </c>
      <c r="AB51" s="7">
        <v>32.5</v>
      </c>
      <c r="AC51" s="7">
        <f t="shared" si="3"/>
        <v>0.3186243272124783</v>
      </c>
      <c r="AD51" s="7">
        <v>102.001</v>
      </c>
      <c r="AE51" s="9">
        <v>45987</v>
      </c>
      <c r="AF51" s="9">
        <v>45987</v>
      </c>
      <c r="AG51" s="10">
        <v>0.55415509259259255</v>
      </c>
      <c r="AH51" s="4" t="s">
        <v>188</v>
      </c>
      <c r="AI51" s="4" t="s">
        <v>134</v>
      </c>
      <c r="AJ51" s="4" t="s">
        <v>135</v>
      </c>
      <c r="AK51" s="4" t="s">
        <v>136</v>
      </c>
      <c r="AL51" s="4" t="s">
        <v>137</v>
      </c>
      <c r="AM51" s="4" t="s">
        <v>138</v>
      </c>
      <c r="AN51" s="4" t="s">
        <v>139</v>
      </c>
      <c r="AO51" s="4" t="s">
        <v>140</v>
      </c>
      <c r="AP51" s="4" t="s">
        <v>141</v>
      </c>
      <c r="AQ51" s="4" t="s">
        <v>142</v>
      </c>
      <c r="AR51" s="4" t="s">
        <v>143</v>
      </c>
    </row>
    <row r="52" spans="1:44" x14ac:dyDescent="0.2">
      <c r="A52" s="8" t="s">
        <v>521</v>
      </c>
      <c r="B52" s="8" t="s">
        <v>522</v>
      </c>
      <c r="C52" s="8" t="s">
        <v>523</v>
      </c>
      <c r="D52" s="8" t="s">
        <v>524</v>
      </c>
      <c r="E52" s="8" t="s">
        <v>962</v>
      </c>
      <c r="F52" s="5">
        <v>937</v>
      </c>
      <c r="G52" s="5"/>
      <c r="H52" s="12"/>
      <c r="I52" s="5" t="s">
        <v>786</v>
      </c>
      <c r="J52" s="5" t="s">
        <v>786</v>
      </c>
      <c r="K52" s="5">
        <v>1488</v>
      </c>
      <c r="L52" s="5">
        <v>373</v>
      </c>
      <c r="M52" s="6" t="s">
        <v>776</v>
      </c>
      <c r="N52" s="6">
        <v>0.183</v>
      </c>
      <c r="O52" s="8" t="s">
        <v>133</v>
      </c>
      <c r="P52" s="8" t="s">
        <v>41</v>
      </c>
      <c r="Q52" s="8" t="s">
        <v>780</v>
      </c>
      <c r="R52" s="8" t="s">
        <v>41</v>
      </c>
      <c r="S52" s="8">
        <v>5</v>
      </c>
      <c r="T52" s="8">
        <v>5</v>
      </c>
      <c r="U52" s="8">
        <v>209</v>
      </c>
      <c r="V52" s="8">
        <v>408</v>
      </c>
      <c r="W52" s="8">
        <f t="shared" si="2"/>
        <v>508</v>
      </c>
      <c r="X52" s="4" t="s">
        <v>767</v>
      </c>
      <c r="Y52" s="4"/>
      <c r="Z52" s="4" t="s">
        <v>768</v>
      </c>
      <c r="AA52" s="4">
        <v>5</v>
      </c>
      <c r="AB52" s="7">
        <v>32.5</v>
      </c>
      <c r="AC52" s="7">
        <f t="shared" si="3"/>
        <v>0.3186243272124783</v>
      </c>
      <c r="AD52" s="7">
        <v>102.001</v>
      </c>
      <c r="AE52" s="9">
        <v>45987</v>
      </c>
      <c r="AF52" s="9">
        <v>45987</v>
      </c>
      <c r="AG52" s="10">
        <v>0.55331018518518515</v>
      </c>
      <c r="AH52" s="4" t="s">
        <v>188</v>
      </c>
      <c r="AI52" s="4" t="s">
        <v>134</v>
      </c>
      <c r="AJ52" s="4" t="s">
        <v>135</v>
      </c>
      <c r="AK52" s="4" t="s">
        <v>136</v>
      </c>
      <c r="AL52" s="4" t="s">
        <v>137</v>
      </c>
      <c r="AM52" s="4" t="s">
        <v>138</v>
      </c>
      <c r="AN52" s="4" t="s">
        <v>139</v>
      </c>
      <c r="AO52" s="4" t="s">
        <v>140</v>
      </c>
      <c r="AP52" s="4" t="s">
        <v>141</v>
      </c>
      <c r="AQ52" s="4" t="s">
        <v>142</v>
      </c>
      <c r="AR52" s="4" t="s">
        <v>143</v>
      </c>
    </row>
    <row r="53" spans="1:44" x14ac:dyDescent="0.2">
      <c r="A53" s="8" t="s">
        <v>525</v>
      </c>
      <c r="B53" s="8" t="s">
        <v>526</v>
      </c>
      <c r="C53" s="8" t="s">
        <v>527</v>
      </c>
      <c r="D53" s="8" t="s">
        <v>528</v>
      </c>
      <c r="E53" s="8" t="s">
        <v>962</v>
      </c>
      <c r="F53" s="5">
        <v>626</v>
      </c>
      <c r="G53" s="5"/>
      <c r="H53" s="12"/>
      <c r="I53" s="5" t="s">
        <v>785</v>
      </c>
      <c r="J53" s="5" t="s">
        <v>785</v>
      </c>
      <c r="K53" s="5">
        <v>1488</v>
      </c>
      <c r="L53" s="5">
        <v>373</v>
      </c>
      <c r="M53" s="6" t="s">
        <v>776</v>
      </c>
      <c r="N53" s="6">
        <v>7.2999999999999995E-2</v>
      </c>
      <c r="O53" s="8" t="s">
        <v>133</v>
      </c>
      <c r="P53" s="8" t="s">
        <v>41</v>
      </c>
      <c r="Q53" s="8" t="s">
        <v>780</v>
      </c>
      <c r="R53" s="8" t="s">
        <v>41</v>
      </c>
      <c r="S53" s="8">
        <v>5</v>
      </c>
      <c r="T53" s="8">
        <v>5</v>
      </c>
      <c r="U53" s="8">
        <v>27</v>
      </c>
      <c r="V53" s="8">
        <v>606</v>
      </c>
      <c r="W53" s="8">
        <f t="shared" si="2"/>
        <v>706</v>
      </c>
      <c r="X53" s="4" t="s">
        <v>767</v>
      </c>
      <c r="Y53" s="4"/>
      <c r="Z53" s="4" t="s">
        <v>768</v>
      </c>
      <c r="AA53" s="4">
        <v>5</v>
      </c>
      <c r="AB53" s="7">
        <v>32.5</v>
      </c>
      <c r="AC53" s="7">
        <f t="shared" si="3"/>
        <v>0.3186243272124783</v>
      </c>
      <c r="AD53" s="7">
        <v>102.001</v>
      </c>
      <c r="AE53" s="9">
        <v>45987</v>
      </c>
      <c r="AF53" s="9">
        <v>45987</v>
      </c>
      <c r="AG53" s="10">
        <v>0.55292824074074076</v>
      </c>
      <c r="AH53" s="4" t="s">
        <v>188</v>
      </c>
      <c r="AI53" s="4" t="s">
        <v>134</v>
      </c>
      <c r="AJ53" s="4" t="s">
        <v>135</v>
      </c>
      <c r="AK53" s="4" t="s">
        <v>136</v>
      </c>
      <c r="AL53" s="4" t="s">
        <v>137</v>
      </c>
      <c r="AM53" s="4" t="s">
        <v>138</v>
      </c>
      <c r="AN53" s="4" t="s">
        <v>139</v>
      </c>
      <c r="AO53" s="4" t="s">
        <v>140</v>
      </c>
      <c r="AP53" s="4" t="s">
        <v>141</v>
      </c>
      <c r="AQ53" s="4" t="s">
        <v>142</v>
      </c>
      <c r="AR53" s="4" t="s">
        <v>143</v>
      </c>
    </row>
    <row r="54" spans="1:44" x14ac:dyDescent="0.2">
      <c r="A54" s="8" t="s">
        <v>585</v>
      </c>
      <c r="B54" s="8" t="s">
        <v>586</v>
      </c>
      <c r="C54" s="8" t="s">
        <v>587</v>
      </c>
      <c r="D54" s="8" t="s">
        <v>588</v>
      </c>
      <c r="E54" s="8" t="s">
        <v>962</v>
      </c>
      <c r="F54" s="5">
        <v>608</v>
      </c>
      <c r="G54" s="5"/>
      <c r="H54" s="12"/>
      <c r="I54" s="5" t="s">
        <v>785</v>
      </c>
      <c r="J54" s="5" t="s">
        <v>785</v>
      </c>
      <c r="K54" s="5">
        <v>1488</v>
      </c>
      <c r="L54" s="5">
        <v>373</v>
      </c>
      <c r="M54" s="6" t="s">
        <v>776</v>
      </c>
      <c r="N54" s="6">
        <v>0.14599999999999999</v>
      </c>
      <c r="O54" s="8" t="s">
        <v>133</v>
      </c>
      <c r="P54" s="8" t="s">
        <v>41</v>
      </c>
      <c r="Q54" s="8" t="s">
        <v>780</v>
      </c>
      <c r="R54" s="8" t="s">
        <v>41</v>
      </c>
      <c r="S54" s="8">
        <v>5</v>
      </c>
      <c r="T54" s="8">
        <v>5</v>
      </c>
      <c r="U54" s="8">
        <v>398</v>
      </c>
      <c r="V54" s="8">
        <v>579</v>
      </c>
      <c r="W54" s="8">
        <f t="shared" si="2"/>
        <v>679</v>
      </c>
      <c r="X54" s="4" t="s">
        <v>767</v>
      </c>
      <c r="Y54" s="4"/>
      <c r="Z54" s="4" t="s">
        <v>768</v>
      </c>
      <c r="AA54" s="4">
        <v>5</v>
      </c>
      <c r="AB54" s="7">
        <v>32.5</v>
      </c>
      <c r="AC54" s="7">
        <f t="shared" si="3"/>
        <v>0.3186243272124783</v>
      </c>
      <c r="AD54" s="7">
        <v>102.001</v>
      </c>
      <c r="AE54" s="9">
        <v>45987</v>
      </c>
      <c r="AF54" s="9">
        <v>45987</v>
      </c>
      <c r="AG54" s="10">
        <v>0.55511574074074077</v>
      </c>
      <c r="AH54" s="4" t="s">
        <v>188</v>
      </c>
      <c r="AI54" s="4" t="s">
        <v>134</v>
      </c>
      <c r="AJ54" s="4" t="s">
        <v>135</v>
      </c>
      <c r="AK54" s="4" t="s">
        <v>136</v>
      </c>
      <c r="AL54" s="4" t="s">
        <v>137</v>
      </c>
      <c r="AM54" s="4" t="s">
        <v>138</v>
      </c>
      <c r="AN54" s="4" t="s">
        <v>139</v>
      </c>
      <c r="AO54" s="4" t="s">
        <v>140</v>
      </c>
      <c r="AP54" s="4" t="s">
        <v>141</v>
      </c>
      <c r="AQ54" s="4" t="s">
        <v>142</v>
      </c>
      <c r="AR54" s="4" t="s">
        <v>143</v>
      </c>
    </row>
    <row r="55" spans="1:44" x14ac:dyDescent="0.2">
      <c r="A55" s="8" t="s">
        <v>589</v>
      </c>
      <c r="B55" s="8" t="s">
        <v>590</v>
      </c>
      <c r="C55" s="8" t="s">
        <v>591</v>
      </c>
      <c r="D55" s="8" t="s">
        <v>592</v>
      </c>
      <c r="E55" s="8" t="s">
        <v>962</v>
      </c>
      <c r="F55" s="14"/>
      <c r="G55" s="14"/>
      <c r="H55" s="15" t="s">
        <v>968</v>
      </c>
      <c r="I55" s="5" t="s">
        <v>785</v>
      </c>
      <c r="J55" s="5" t="s">
        <v>785</v>
      </c>
      <c r="K55" s="5">
        <v>1488</v>
      </c>
      <c r="L55" s="5">
        <v>373</v>
      </c>
      <c r="M55" s="6" t="s">
        <v>776</v>
      </c>
      <c r="N55" s="6">
        <v>0.182</v>
      </c>
      <c r="O55" s="8" t="s">
        <v>133</v>
      </c>
      <c r="P55" s="8" t="s">
        <v>25</v>
      </c>
      <c r="Q55" s="8" t="s">
        <v>780</v>
      </c>
      <c r="R55" s="8" t="s">
        <v>25</v>
      </c>
      <c r="S55" s="8">
        <v>5</v>
      </c>
      <c r="T55" s="8">
        <v>5</v>
      </c>
      <c r="U55" s="8">
        <v>273</v>
      </c>
      <c r="V55" s="8">
        <v>303</v>
      </c>
      <c r="W55" s="8">
        <f t="shared" si="2"/>
        <v>403</v>
      </c>
      <c r="X55" s="4" t="s">
        <v>767</v>
      </c>
      <c r="Y55" s="4"/>
      <c r="Z55" s="4" t="s">
        <v>768</v>
      </c>
      <c r="AA55" s="4">
        <v>5</v>
      </c>
      <c r="AB55" s="7">
        <v>32.5</v>
      </c>
      <c r="AC55" s="7">
        <f t="shared" si="3"/>
        <v>0.3186243272124783</v>
      </c>
      <c r="AD55" s="7">
        <v>102.001</v>
      </c>
      <c r="AE55" s="9">
        <v>45987</v>
      </c>
      <c r="AF55" s="9">
        <v>45987</v>
      </c>
      <c r="AG55" s="10">
        <v>0.50864583333333335</v>
      </c>
      <c r="AH55" s="4" t="s">
        <v>188</v>
      </c>
      <c r="AI55" s="4" t="s">
        <v>134</v>
      </c>
      <c r="AJ55" s="4" t="s">
        <v>135</v>
      </c>
      <c r="AK55" s="4" t="s">
        <v>136</v>
      </c>
      <c r="AL55" s="4" t="s">
        <v>137</v>
      </c>
      <c r="AM55" s="4" t="s">
        <v>138</v>
      </c>
      <c r="AN55" s="4" t="s">
        <v>139</v>
      </c>
      <c r="AO55" s="4" t="s">
        <v>140</v>
      </c>
      <c r="AP55" s="4" t="s">
        <v>141</v>
      </c>
      <c r="AQ55" s="4" t="s">
        <v>142</v>
      </c>
      <c r="AR55" s="4" t="s">
        <v>143</v>
      </c>
    </row>
    <row r="56" spans="1:44" x14ac:dyDescent="0.2">
      <c r="A56" s="8" t="s">
        <v>717</v>
      </c>
      <c r="B56" s="8" t="s">
        <v>718</v>
      </c>
      <c r="C56" s="8" t="s">
        <v>719</v>
      </c>
      <c r="D56" s="8" t="s">
        <v>720</v>
      </c>
      <c r="E56" s="8" t="s">
        <v>962</v>
      </c>
      <c r="F56" s="14"/>
      <c r="G56" s="14"/>
      <c r="H56" s="15" t="s">
        <v>968</v>
      </c>
      <c r="I56" s="5" t="s">
        <v>785</v>
      </c>
      <c r="J56" s="5" t="s">
        <v>785</v>
      </c>
      <c r="K56" s="5">
        <v>1488</v>
      </c>
      <c r="L56" s="5">
        <v>373</v>
      </c>
      <c r="M56" s="6" t="s">
        <v>776</v>
      </c>
      <c r="N56" s="6">
        <v>0.19400000000000001</v>
      </c>
      <c r="O56" s="8" t="s">
        <v>133</v>
      </c>
      <c r="P56" s="8" t="s">
        <v>25</v>
      </c>
      <c r="Q56" s="8" t="s">
        <v>780</v>
      </c>
      <c r="R56" s="8" t="s">
        <v>25</v>
      </c>
      <c r="S56" s="8">
        <v>5</v>
      </c>
      <c r="T56" s="8">
        <v>5</v>
      </c>
      <c r="U56" s="8">
        <v>208</v>
      </c>
      <c r="V56" s="8">
        <v>514</v>
      </c>
      <c r="W56" s="8">
        <f t="shared" si="2"/>
        <v>614</v>
      </c>
      <c r="X56" s="4" t="s">
        <v>767</v>
      </c>
      <c r="Y56" s="4"/>
      <c r="Z56" s="4" t="s">
        <v>768</v>
      </c>
      <c r="AA56" s="4">
        <v>5</v>
      </c>
      <c r="AB56" s="7">
        <v>32.5</v>
      </c>
      <c r="AC56" s="7">
        <f t="shared" si="3"/>
        <v>0.3186243272124783</v>
      </c>
      <c r="AD56" s="7">
        <v>102.001</v>
      </c>
      <c r="AE56" s="9">
        <v>45987</v>
      </c>
      <c r="AF56" s="9">
        <v>45987</v>
      </c>
      <c r="AG56" s="10">
        <v>0.50855324074074071</v>
      </c>
      <c r="AH56" s="4" t="s">
        <v>188</v>
      </c>
      <c r="AI56" s="4" t="s">
        <v>134</v>
      </c>
      <c r="AJ56" s="4" t="s">
        <v>135</v>
      </c>
      <c r="AK56" s="4" t="s">
        <v>136</v>
      </c>
      <c r="AL56" s="4" t="s">
        <v>137</v>
      </c>
      <c r="AM56" s="4" t="s">
        <v>138</v>
      </c>
      <c r="AN56" s="4" t="s">
        <v>139</v>
      </c>
      <c r="AO56" s="4" t="s">
        <v>140</v>
      </c>
      <c r="AP56" s="4" t="s">
        <v>141</v>
      </c>
      <c r="AQ56" s="4" t="s">
        <v>142</v>
      </c>
      <c r="AR56" s="4" t="s">
        <v>143</v>
      </c>
    </row>
    <row r="57" spans="1:44" x14ac:dyDescent="0.2">
      <c r="A57" s="8" t="s">
        <v>385</v>
      </c>
      <c r="B57" s="8" t="s">
        <v>386</v>
      </c>
      <c r="C57" s="8" t="s">
        <v>387</v>
      </c>
      <c r="D57" s="8" t="s">
        <v>388</v>
      </c>
      <c r="E57" s="8" t="s">
        <v>962</v>
      </c>
      <c r="F57" s="14"/>
      <c r="G57" s="14"/>
      <c r="H57" s="15" t="s">
        <v>968</v>
      </c>
      <c r="I57" s="5" t="s">
        <v>785</v>
      </c>
      <c r="J57" s="5" t="s">
        <v>785</v>
      </c>
      <c r="K57" s="5">
        <v>1488</v>
      </c>
      <c r="L57" s="5">
        <v>373</v>
      </c>
      <c r="M57" s="6" t="s">
        <v>776</v>
      </c>
      <c r="N57" s="6">
        <v>0.13700000000000001</v>
      </c>
      <c r="O57" s="8" t="s">
        <v>133</v>
      </c>
      <c r="P57" s="8" t="s">
        <v>41</v>
      </c>
      <c r="Q57" s="8" t="s">
        <v>780</v>
      </c>
      <c r="R57" s="8" t="s">
        <v>41</v>
      </c>
      <c r="S57" s="8">
        <v>6</v>
      </c>
      <c r="T57" s="8">
        <v>6</v>
      </c>
      <c r="U57" s="8">
        <v>72</v>
      </c>
      <c r="V57" s="8">
        <v>114</v>
      </c>
      <c r="W57" s="8">
        <f t="shared" si="2"/>
        <v>214</v>
      </c>
      <c r="X57" s="4" t="s">
        <v>767</v>
      </c>
      <c r="Y57" s="4"/>
      <c r="Z57" s="4" t="s">
        <v>768</v>
      </c>
      <c r="AA57" s="4">
        <v>5</v>
      </c>
      <c r="AB57" s="7">
        <v>32.5</v>
      </c>
      <c r="AC57" s="7">
        <f t="shared" si="3"/>
        <v>0.3186243272124783</v>
      </c>
      <c r="AD57" s="7">
        <v>102.001</v>
      </c>
      <c r="AE57" s="9">
        <v>45987</v>
      </c>
      <c r="AF57" s="9">
        <v>45987</v>
      </c>
      <c r="AG57" s="10">
        <v>0.56925925925925924</v>
      </c>
      <c r="AH57" s="4" t="s">
        <v>188</v>
      </c>
      <c r="AI57" s="4" t="s">
        <v>134</v>
      </c>
      <c r="AJ57" s="4" t="s">
        <v>135</v>
      </c>
      <c r="AK57" s="4" t="s">
        <v>136</v>
      </c>
      <c r="AL57" s="4" t="s">
        <v>137</v>
      </c>
      <c r="AM57" s="4" t="s">
        <v>138</v>
      </c>
      <c r="AN57" s="4" t="s">
        <v>139</v>
      </c>
      <c r="AO57" s="4" t="s">
        <v>140</v>
      </c>
      <c r="AP57" s="4" t="s">
        <v>141</v>
      </c>
      <c r="AQ57" s="4" t="s">
        <v>142</v>
      </c>
      <c r="AR57" s="4" t="s">
        <v>143</v>
      </c>
    </row>
    <row r="58" spans="1:44" x14ac:dyDescent="0.2">
      <c r="A58" s="8" t="s">
        <v>389</v>
      </c>
      <c r="B58" s="8" t="s">
        <v>390</v>
      </c>
      <c r="C58" s="8" t="s">
        <v>391</v>
      </c>
      <c r="D58" s="8" t="s">
        <v>392</v>
      </c>
      <c r="E58" s="8" t="s">
        <v>962</v>
      </c>
      <c r="F58" s="5">
        <v>591</v>
      </c>
      <c r="G58" s="5"/>
      <c r="H58" s="12"/>
      <c r="I58" s="5" t="s">
        <v>786</v>
      </c>
      <c r="J58" s="5" t="s">
        <v>786</v>
      </c>
      <c r="K58" s="5">
        <v>1488</v>
      </c>
      <c r="L58" s="5">
        <v>373</v>
      </c>
      <c r="M58" s="6" t="s">
        <v>776</v>
      </c>
      <c r="N58" s="6">
        <v>0.123</v>
      </c>
      <c r="O58" s="8" t="s">
        <v>133</v>
      </c>
      <c r="P58" s="8" t="s">
        <v>41</v>
      </c>
      <c r="Q58" s="8" t="s">
        <v>780</v>
      </c>
      <c r="R58" s="8" t="s">
        <v>41</v>
      </c>
      <c r="S58" s="8">
        <v>6</v>
      </c>
      <c r="T58" s="8">
        <v>6</v>
      </c>
      <c r="U58" s="8">
        <v>501</v>
      </c>
      <c r="V58" s="8">
        <v>557</v>
      </c>
      <c r="W58" s="8">
        <f t="shared" si="2"/>
        <v>657</v>
      </c>
      <c r="X58" s="4" t="s">
        <v>767</v>
      </c>
      <c r="Y58" s="4"/>
      <c r="Z58" s="4" t="s">
        <v>768</v>
      </c>
      <c r="AA58" s="4">
        <v>5</v>
      </c>
      <c r="AB58" s="7">
        <v>32.5</v>
      </c>
      <c r="AC58" s="7">
        <f t="shared" si="3"/>
        <v>0.3186243272124783</v>
      </c>
      <c r="AD58" s="7">
        <v>102.001</v>
      </c>
      <c r="AE58" s="9">
        <v>45987</v>
      </c>
      <c r="AF58" s="9">
        <v>45987</v>
      </c>
      <c r="AG58" s="10">
        <v>0.56915509259259256</v>
      </c>
      <c r="AH58" s="4" t="s">
        <v>188</v>
      </c>
      <c r="AI58" s="4" t="s">
        <v>134</v>
      </c>
      <c r="AJ58" s="4" t="s">
        <v>135</v>
      </c>
      <c r="AK58" s="4" t="s">
        <v>136</v>
      </c>
      <c r="AL58" s="4" t="s">
        <v>137</v>
      </c>
      <c r="AM58" s="4" t="s">
        <v>138</v>
      </c>
      <c r="AN58" s="4" t="s">
        <v>139</v>
      </c>
      <c r="AO58" s="4" t="s">
        <v>140</v>
      </c>
      <c r="AP58" s="4" t="s">
        <v>141</v>
      </c>
      <c r="AQ58" s="4" t="s">
        <v>142</v>
      </c>
      <c r="AR58" s="4" t="s">
        <v>143</v>
      </c>
    </row>
    <row r="59" spans="1:44" x14ac:dyDescent="0.2">
      <c r="A59" s="8" t="s">
        <v>393</v>
      </c>
      <c r="B59" s="8" t="s">
        <v>394</v>
      </c>
      <c r="C59" s="8" t="s">
        <v>395</v>
      </c>
      <c r="D59" s="8" t="s">
        <v>396</v>
      </c>
      <c r="E59" s="8" t="s">
        <v>962</v>
      </c>
      <c r="F59" s="5">
        <v>423</v>
      </c>
      <c r="G59" s="5"/>
      <c r="H59" s="12"/>
      <c r="I59" s="5" t="s">
        <v>785</v>
      </c>
      <c r="J59" s="5" t="s">
        <v>785</v>
      </c>
      <c r="K59" s="5">
        <v>1488</v>
      </c>
      <c r="L59" s="5">
        <v>373</v>
      </c>
      <c r="M59" s="6" t="s">
        <v>776</v>
      </c>
      <c r="N59" s="6">
        <v>0.115</v>
      </c>
      <c r="O59" s="8" t="s">
        <v>133</v>
      </c>
      <c r="P59" s="8" t="s">
        <v>41</v>
      </c>
      <c r="Q59" s="8" t="s">
        <v>780</v>
      </c>
      <c r="R59" s="8" t="s">
        <v>41</v>
      </c>
      <c r="S59" s="8">
        <v>6</v>
      </c>
      <c r="T59" s="8">
        <v>6</v>
      </c>
      <c r="U59" s="8">
        <v>327</v>
      </c>
      <c r="V59" s="8">
        <v>400</v>
      </c>
      <c r="W59" s="8">
        <f t="shared" si="2"/>
        <v>500</v>
      </c>
      <c r="X59" s="4" t="s">
        <v>767</v>
      </c>
      <c r="Y59" s="4"/>
      <c r="Z59" s="4" t="s">
        <v>768</v>
      </c>
      <c r="AA59" s="4">
        <v>5</v>
      </c>
      <c r="AB59" s="7">
        <v>32.5</v>
      </c>
      <c r="AC59" s="7">
        <f t="shared" si="3"/>
        <v>0.3186243272124783</v>
      </c>
      <c r="AD59" s="7">
        <v>102.001</v>
      </c>
      <c r="AE59" s="9">
        <v>45987</v>
      </c>
      <c r="AF59" s="9">
        <v>45987</v>
      </c>
      <c r="AG59" s="10">
        <v>0.56857638888888884</v>
      </c>
      <c r="AH59" s="4" t="s">
        <v>188</v>
      </c>
      <c r="AI59" s="4" t="s">
        <v>134</v>
      </c>
      <c r="AJ59" s="4" t="s">
        <v>135</v>
      </c>
      <c r="AK59" s="4" t="s">
        <v>136</v>
      </c>
      <c r="AL59" s="4" t="s">
        <v>137</v>
      </c>
      <c r="AM59" s="4" t="s">
        <v>138</v>
      </c>
      <c r="AN59" s="4" t="s">
        <v>139</v>
      </c>
      <c r="AO59" s="4" t="s">
        <v>140</v>
      </c>
      <c r="AP59" s="4" t="s">
        <v>141</v>
      </c>
      <c r="AQ59" s="4" t="s">
        <v>142</v>
      </c>
      <c r="AR59" s="4" t="s">
        <v>143</v>
      </c>
    </row>
    <row r="60" spans="1:44" x14ac:dyDescent="0.2">
      <c r="A60" s="8" t="s">
        <v>397</v>
      </c>
      <c r="B60" s="8" t="s">
        <v>398</v>
      </c>
      <c r="C60" s="8" t="s">
        <v>399</v>
      </c>
      <c r="D60" s="8" t="s">
        <v>400</v>
      </c>
      <c r="E60" s="8" t="s">
        <v>962</v>
      </c>
      <c r="F60" s="14"/>
      <c r="G60" s="14"/>
      <c r="H60" s="15" t="s">
        <v>968</v>
      </c>
      <c r="I60" s="5" t="s">
        <v>785</v>
      </c>
      <c r="J60" s="5" t="s">
        <v>785</v>
      </c>
      <c r="K60" s="5">
        <v>1488</v>
      </c>
      <c r="L60" s="5">
        <v>373</v>
      </c>
      <c r="M60" s="6" t="s">
        <v>776</v>
      </c>
      <c r="N60" s="6">
        <v>8.5000000000000006E-2</v>
      </c>
      <c r="O60" s="8" t="s">
        <v>133</v>
      </c>
      <c r="P60" s="8" t="s">
        <v>41</v>
      </c>
      <c r="Q60" s="8" t="s">
        <v>780</v>
      </c>
      <c r="R60" s="8" t="s">
        <v>41</v>
      </c>
      <c r="S60" s="8">
        <v>6</v>
      </c>
      <c r="T60" s="8">
        <v>6</v>
      </c>
      <c r="U60" s="8">
        <v>248</v>
      </c>
      <c r="V60" s="8">
        <v>425</v>
      </c>
      <c r="W60" s="8">
        <f t="shared" si="2"/>
        <v>525</v>
      </c>
      <c r="X60" s="4" t="s">
        <v>767</v>
      </c>
      <c r="Y60" s="4"/>
      <c r="Z60" s="4" t="s">
        <v>768</v>
      </c>
      <c r="AA60" s="4">
        <v>5</v>
      </c>
      <c r="AB60" s="7">
        <v>32.5</v>
      </c>
      <c r="AC60" s="7">
        <f t="shared" si="3"/>
        <v>0.3186243272124783</v>
      </c>
      <c r="AD60" s="7">
        <v>102.001</v>
      </c>
      <c r="AE60" s="9">
        <v>45987</v>
      </c>
      <c r="AF60" s="9">
        <v>45987</v>
      </c>
      <c r="AG60" s="10">
        <v>0.56815972222222222</v>
      </c>
      <c r="AH60" s="4" t="s">
        <v>188</v>
      </c>
      <c r="AI60" s="4" t="s">
        <v>134</v>
      </c>
      <c r="AJ60" s="4" t="s">
        <v>135</v>
      </c>
      <c r="AK60" s="4" t="s">
        <v>136</v>
      </c>
      <c r="AL60" s="4" t="s">
        <v>137</v>
      </c>
      <c r="AM60" s="4" t="s">
        <v>138</v>
      </c>
      <c r="AN60" s="4" t="s">
        <v>139</v>
      </c>
      <c r="AO60" s="4" t="s">
        <v>140</v>
      </c>
      <c r="AP60" s="4" t="s">
        <v>141</v>
      </c>
      <c r="AQ60" s="4" t="s">
        <v>142</v>
      </c>
      <c r="AR60" s="4" t="s">
        <v>143</v>
      </c>
    </row>
    <row r="61" spans="1:44" x14ac:dyDescent="0.2">
      <c r="A61" s="8" t="s">
        <v>401</v>
      </c>
      <c r="B61" s="8" t="s">
        <v>402</v>
      </c>
      <c r="C61" s="8" t="s">
        <v>403</v>
      </c>
      <c r="D61" s="8" t="s">
        <v>404</v>
      </c>
      <c r="E61" s="8" t="s">
        <v>962</v>
      </c>
      <c r="F61" s="14"/>
      <c r="G61" s="14"/>
      <c r="H61" s="15" t="s">
        <v>968</v>
      </c>
      <c r="I61" s="5" t="s">
        <v>785</v>
      </c>
      <c r="J61" s="5" t="s">
        <v>785</v>
      </c>
      <c r="K61" s="5">
        <v>1488</v>
      </c>
      <c r="L61" s="5">
        <v>373</v>
      </c>
      <c r="M61" s="6" t="s">
        <v>776</v>
      </c>
      <c r="N61" s="6">
        <v>0.26</v>
      </c>
      <c r="O61" s="8" t="s">
        <v>133</v>
      </c>
      <c r="P61" s="8" t="s">
        <v>41</v>
      </c>
      <c r="Q61" s="8" t="s">
        <v>780</v>
      </c>
      <c r="R61" s="8" t="s">
        <v>41</v>
      </c>
      <c r="S61" s="8">
        <v>6</v>
      </c>
      <c r="T61" s="8">
        <v>6</v>
      </c>
      <c r="U61" s="8">
        <v>550</v>
      </c>
      <c r="V61" s="8">
        <v>582</v>
      </c>
      <c r="W61" s="8">
        <f t="shared" si="2"/>
        <v>682</v>
      </c>
      <c r="X61" s="4" t="s">
        <v>767</v>
      </c>
      <c r="Y61" s="4"/>
      <c r="Z61" s="4" t="s">
        <v>768</v>
      </c>
      <c r="AA61" s="4">
        <v>5</v>
      </c>
      <c r="AB61" s="7">
        <v>32.5</v>
      </c>
      <c r="AC61" s="7">
        <f t="shared" si="3"/>
        <v>0.3186243272124783</v>
      </c>
      <c r="AD61" s="7">
        <v>102.001</v>
      </c>
      <c r="AE61" s="9">
        <v>45987</v>
      </c>
      <c r="AF61" s="9">
        <v>45987</v>
      </c>
      <c r="AG61" s="10">
        <v>0.5680439814814815</v>
      </c>
      <c r="AH61" s="4" t="s">
        <v>188</v>
      </c>
      <c r="AI61" s="4" t="s">
        <v>134</v>
      </c>
      <c r="AJ61" s="4" t="s">
        <v>135</v>
      </c>
      <c r="AK61" s="4" t="s">
        <v>136</v>
      </c>
      <c r="AL61" s="4" t="s">
        <v>137</v>
      </c>
      <c r="AM61" s="4" t="s">
        <v>138</v>
      </c>
      <c r="AN61" s="4" t="s">
        <v>139</v>
      </c>
      <c r="AO61" s="4" t="s">
        <v>140</v>
      </c>
      <c r="AP61" s="4" t="s">
        <v>141</v>
      </c>
      <c r="AQ61" s="4" t="s">
        <v>142</v>
      </c>
      <c r="AR61" s="4" t="s">
        <v>143</v>
      </c>
    </row>
    <row r="62" spans="1:44" x14ac:dyDescent="0.2">
      <c r="A62" s="8" t="s">
        <v>405</v>
      </c>
      <c r="B62" s="8" t="s">
        <v>406</v>
      </c>
      <c r="C62" s="8" t="s">
        <v>407</v>
      </c>
      <c r="D62" s="8" t="s">
        <v>408</v>
      </c>
      <c r="E62" s="8" t="s">
        <v>962</v>
      </c>
      <c r="F62" s="14"/>
      <c r="G62" s="14"/>
      <c r="H62" s="15" t="s">
        <v>968</v>
      </c>
      <c r="I62" s="5" t="s">
        <v>785</v>
      </c>
      <c r="J62" s="5" t="s">
        <v>785</v>
      </c>
      <c r="K62" s="5">
        <v>1488</v>
      </c>
      <c r="L62" s="5">
        <v>373</v>
      </c>
      <c r="M62" s="6" t="s">
        <v>776</v>
      </c>
      <c r="N62" s="6">
        <v>0.30399999999999999</v>
      </c>
      <c r="O62" s="8" t="s">
        <v>133</v>
      </c>
      <c r="P62" s="8" t="s">
        <v>41</v>
      </c>
      <c r="Q62" s="8" t="s">
        <v>780</v>
      </c>
      <c r="R62" s="8" t="s">
        <v>41</v>
      </c>
      <c r="S62" s="8">
        <v>6</v>
      </c>
      <c r="T62" s="8">
        <v>6</v>
      </c>
      <c r="U62" s="8">
        <v>405</v>
      </c>
      <c r="V62" s="8">
        <v>445</v>
      </c>
      <c r="W62" s="8">
        <f t="shared" si="2"/>
        <v>545</v>
      </c>
      <c r="X62" s="4" t="s">
        <v>767</v>
      </c>
      <c r="Y62" s="4"/>
      <c r="Z62" s="4" t="s">
        <v>768</v>
      </c>
      <c r="AA62" s="4">
        <v>5</v>
      </c>
      <c r="AB62" s="7">
        <v>32.5</v>
      </c>
      <c r="AC62" s="7">
        <f t="shared" si="3"/>
        <v>0.3186243272124783</v>
      </c>
      <c r="AD62" s="7">
        <v>102.001</v>
      </c>
      <c r="AE62" s="9">
        <v>45987</v>
      </c>
      <c r="AF62" s="9">
        <v>45987</v>
      </c>
      <c r="AG62" s="10">
        <v>0.5677430555555556</v>
      </c>
      <c r="AH62" s="4" t="s">
        <v>188</v>
      </c>
      <c r="AI62" s="4" t="s">
        <v>134</v>
      </c>
      <c r="AJ62" s="4" t="s">
        <v>135</v>
      </c>
      <c r="AK62" s="4" t="s">
        <v>136</v>
      </c>
      <c r="AL62" s="4" t="s">
        <v>137</v>
      </c>
      <c r="AM62" s="4" t="s">
        <v>138</v>
      </c>
      <c r="AN62" s="4" t="s">
        <v>139</v>
      </c>
      <c r="AO62" s="4" t="s">
        <v>140</v>
      </c>
      <c r="AP62" s="4" t="s">
        <v>141</v>
      </c>
      <c r="AQ62" s="4" t="s">
        <v>142</v>
      </c>
      <c r="AR62" s="4" t="s">
        <v>143</v>
      </c>
    </row>
    <row r="63" spans="1:44" x14ac:dyDescent="0.2">
      <c r="A63" s="8" t="s">
        <v>409</v>
      </c>
      <c r="B63" s="8" t="s">
        <v>410</v>
      </c>
      <c r="C63" s="8" t="s">
        <v>411</v>
      </c>
      <c r="D63" s="8" t="s">
        <v>412</v>
      </c>
      <c r="E63" s="8" t="s">
        <v>962</v>
      </c>
      <c r="F63" s="5">
        <v>434</v>
      </c>
      <c r="G63" s="5"/>
      <c r="H63" s="12"/>
      <c r="I63" s="5" t="s">
        <v>785</v>
      </c>
      <c r="J63" s="5" t="s">
        <v>785</v>
      </c>
      <c r="K63" s="5">
        <v>1488</v>
      </c>
      <c r="L63" s="5">
        <v>373</v>
      </c>
      <c r="M63" s="6" t="s">
        <v>776</v>
      </c>
      <c r="N63" s="6">
        <v>0.3</v>
      </c>
      <c r="O63" s="8" t="s">
        <v>133</v>
      </c>
      <c r="P63" s="8" t="s">
        <v>41</v>
      </c>
      <c r="Q63" s="8" t="s">
        <v>780</v>
      </c>
      <c r="R63" s="8" t="s">
        <v>41</v>
      </c>
      <c r="S63" s="8">
        <v>6</v>
      </c>
      <c r="T63" s="8">
        <v>6</v>
      </c>
      <c r="U63" s="8">
        <v>403</v>
      </c>
      <c r="V63" s="8">
        <v>444</v>
      </c>
      <c r="W63" s="8">
        <f t="shared" si="2"/>
        <v>544</v>
      </c>
      <c r="X63" s="4" t="s">
        <v>767</v>
      </c>
      <c r="Y63" s="4"/>
      <c r="Z63" s="4" t="s">
        <v>768</v>
      </c>
      <c r="AA63" s="4">
        <v>5</v>
      </c>
      <c r="AB63" s="7">
        <v>32.5</v>
      </c>
      <c r="AC63" s="7">
        <f t="shared" si="3"/>
        <v>0.3186243272124783</v>
      </c>
      <c r="AD63" s="7">
        <v>102.001</v>
      </c>
      <c r="AE63" s="9">
        <v>45987</v>
      </c>
      <c r="AF63" s="9">
        <v>45987</v>
      </c>
      <c r="AG63" s="10">
        <v>0.56761574074074073</v>
      </c>
      <c r="AH63" s="4" t="s">
        <v>188</v>
      </c>
      <c r="AI63" s="4" t="s">
        <v>134</v>
      </c>
      <c r="AJ63" s="4" t="s">
        <v>135</v>
      </c>
      <c r="AK63" s="4" t="s">
        <v>136</v>
      </c>
      <c r="AL63" s="4" t="s">
        <v>137</v>
      </c>
      <c r="AM63" s="4" t="s">
        <v>138</v>
      </c>
      <c r="AN63" s="4" t="s">
        <v>139</v>
      </c>
      <c r="AO63" s="4" t="s">
        <v>140</v>
      </c>
      <c r="AP63" s="4" t="s">
        <v>141</v>
      </c>
      <c r="AQ63" s="4" t="s">
        <v>142</v>
      </c>
      <c r="AR63" s="4" t="s">
        <v>143</v>
      </c>
    </row>
    <row r="64" spans="1:44" x14ac:dyDescent="0.2">
      <c r="A64" s="8" t="s">
        <v>413</v>
      </c>
      <c r="B64" s="8" t="s">
        <v>414</v>
      </c>
      <c r="C64" s="8" t="s">
        <v>415</v>
      </c>
      <c r="D64" s="8" t="s">
        <v>416</v>
      </c>
      <c r="E64" s="8" t="s">
        <v>962</v>
      </c>
      <c r="F64" s="5">
        <v>595</v>
      </c>
      <c r="G64" s="5"/>
      <c r="H64" s="12"/>
      <c r="I64" s="5" t="s">
        <v>785</v>
      </c>
      <c r="J64" s="5" t="s">
        <v>785</v>
      </c>
      <c r="K64" s="5">
        <v>1488</v>
      </c>
      <c r="L64" s="5">
        <v>373</v>
      </c>
      <c r="M64" s="6" t="s">
        <v>776</v>
      </c>
      <c r="N64" s="6">
        <v>7.4999999999999997E-2</v>
      </c>
      <c r="O64" s="8" t="s">
        <v>133</v>
      </c>
      <c r="P64" s="8" t="s">
        <v>41</v>
      </c>
      <c r="Q64" s="8" t="s">
        <v>780</v>
      </c>
      <c r="R64" s="8" t="s">
        <v>41</v>
      </c>
      <c r="S64" s="8">
        <v>6</v>
      </c>
      <c r="T64" s="8">
        <v>6</v>
      </c>
      <c r="U64" s="8">
        <v>0</v>
      </c>
      <c r="V64" s="8">
        <v>62</v>
      </c>
      <c r="W64" s="8">
        <f t="shared" si="2"/>
        <v>162</v>
      </c>
      <c r="X64" s="4" t="s">
        <v>767</v>
      </c>
      <c r="Y64" s="4"/>
      <c r="Z64" s="4" t="s">
        <v>768</v>
      </c>
      <c r="AA64" s="4">
        <v>5</v>
      </c>
      <c r="AB64" s="7">
        <v>32.5</v>
      </c>
      <c r="AC64" s="7">
        <f t="shared" si="3"/>
        <v>0.3186243272124783</v>
      </c>
      <c r="AD64" s="7">
        <v>102.001</v>
      </c>
      <c r="AE64" s="9">
        <v>45987</v>
      </c>
      <c r="AF64" s="9">
        <v>45987</v>
      </c>
      <c r="AG64" s="10">
        <v>0.57010416666666663</v>
      </c>
      <c r="AH64" s="4" t="s">
        <v>188</v>
      </c>
      <c r="AI64" s="4" t="s">
        <v>134</v>
      </c>
      <c r="AJ64" s="4" t="s">
        <v>135</v>
      </c>
      <c r="AK64" s="4" t="s">
        <v>136</v>
      </c>
      <c r="AL64" s="4" t="s">
        <v>137</v>
      </c>
      <c r="AM64" s="4" t="s">
        <v>138</v>
      </c>
      <c r="AN64" s="4" t="s">
        <v>139</v>
      </c>
      <c r="AO64" s="4" t="s">
        <v>140</v>
      </c>
      <c r="AP64" s="4" t="s">
        <v>141</v>
      </c>
      <c r="AQ64" s="4" t="s">
        <v>142</v>
      </c>
      <c r="AR64" s="4" t="s">
        <v>143</v>
      </c>
    </row>
    <row r="65" spans="1:44" x14ac:dyDescent="0.2">
      <c r="A65" s="8" t="s">
        <v>417</v>
      </c>
      <c r="B65" s="8" t="s">
        <v>418</v>
      </c>
      <c r="C65" s="8" t="s">
        <v>419</v>
      </c>
      <c r="D65" s="8" t="s">
        <v>420</v>
      </c>
      <c r="E65" s="8" t="s">
        <v>962</v>
      </c>
      <c r="F65" s="5">
        <v>577</v>
      </c>
      <c r="G65" s="5"/>
      <c r="H65" s="12"/>
      <c r="I65" s="5" t="s">
        <v>785</v>
      </c>
      <c r="J65" s="5" t="s">
        <v>785</v>
      </c>
      <c r="K65" s="5">
        <v>1488</v>
      </c>
      <c r="L65" s="5">
        <v>373</v>
      </c>
      <c r="M65" s="6" t="s">
        <v>776</v>
      </c>
      <c r="N65" s="6">
        <v>0.16600000000000001</v>
      </c>
      <c r="O65" s="8" t="s">
        <v>133</v>
      </c>
      <c r="P65" s="8" t="s">
        <v>41</v>
      </c>
      <c r="Q65" s="8" t="s">
        <v>780</v>
      </c>
      <c r="R65" s="8" t="s">
        <v>41</v>
      </c>
      <c r="S65" s="8">
        <v>6</v>
      </c>
      <c r="T65" s="8">
        <v>6</v>
      </c>
      <c r="U65" s="8">
        <v>353</v>
      </c>
      <c r="V65" s="8">
        <v>375</v>
      </c>
      <c r="W65" s="8">
        <f t="shared" si="2"/>
        <v>475</v>
      </c>
      <c r="X65" s="4" t="s">
        <v>767</v>
      </c>
      <c r="Y65" s="4"/>
      <c r="Z65" s="4" t="s">
        <v>768</v>
      </c>
      <c r="AA65" s="4">
        <v>5</v>
      </c>
      <c r="AB65" s="7">
        <v>32.5</v>
      </c>
      <c r="AC65" s="7">
        <f t="shared" si="3"/>
        <v>0.3186243272124783</v>
      </c>
      <c r="AD65" s="7">
        <v>102.001</v>
      </c>
      <c r="AE65" s="9">
        <v>45987</v>
      </c>
      <c r="AF65" s="9">
        <v>45987</v>
      </c>
      <c r="AG65" s="10">
        <v>0.56460648148148151</v>
      </c>
      <c r="AH65" s="4" t="s">
        <v>188</v>
      </c>
      <c r="AI65" s="4" t="s">
        <v>134</v>
      </c>
      <c r="AJ65" s="4" t="s">
        <v>135</v>
      </c>
      <c r="AK65" s="4" t="s">
        <v>136</v>
      </c>
      <c r="AL65" s="4" t="s">
        <v>137</v>
      </c>
      <c r="AM65" s="4" t="s">
        <v>138</v>
      </c>
      <c r="AN65" s="4" t="s">
        <v>139</v>
      </c>
      <c r="AO65" s="4" t="s">
        <v>140</v>
      </c>
      <c r="AP65" s="4" t="s">
        <v>141</v>
      </c>
      <c r="AQ65" s="4" t="s">
        <v>142</v>
      </c>
      <c r="AR65" s="4" t="s">
        <v>143</v>
      </c>
    </row>
    <row r="66" spans="1:44" x14ac:dyDescent="0.2">
      <c r="A66" s="8" t="s">
        <v>421</v>
      </c>
      <c r="B66" s="8" t="s">
        <v>422</v>
      </c>
      <c r="C66" s="8" t="s">
        <v>423</v>
      </c>
      <c r="D66" s="8" t="s">
        <v>424</v>
      </c>
      <c r="E66" s="8" t="s">
        <v>962</v>
      </c>
      <c r="F66" s="5">
        <v>624</v>
      </c>
      <c r="G66" s="5"/>
      <c r="H66" s="12"/>
      <c r="I66" s="5" t="s">
        <v>785</v>
      </c>
      <c r="J66" s="5" t="s">
        <v>785</v>
      </c>
      <c r="K66" s="5">
        <v>1488</v>
      </c>
      <c r="L66" s="5">
        <v>373</v>
      </c>
      <c r="M66" s="6" t="s">
        <v>776</v>
      </c>
      <c r="N66" s="6">
        <v>0.127</v>
      </c>
      <c r="O66" s="8" t="s">
        <v>133</v>
      </c>
      <c r="P66" s="8" t="s">
        <v>41</v>
      </c>
      <c r="Q66" s="8" t="s">
        <v>780</v>
      </c>
      <c r="R66" s="8" t="s">
        <v>41</v>
      </c>
      <c r="S66" s="8">
        <v>6</v>
      </c>
      <c r="T66" s="8">
        <v>6</v>
      </c>
      <c r="U66" s="8">
        <v>540</v>
      </c>
      <c r="V66" s="8">
        <v>564</v>
      </c>
      <c r="W66" s="8">
        <f t="shared" ref="W66:W97" si="4">V66+100</f>
        <v>664</v>
      </c>
      <c r="X66" s="4" t="s">
        <v>767</v>
      </c>
      <c r="Y66" s="4"/>
      <c r="Z66" s="4" t="s">
        <v>768</v>
      </c>
      <c r="AA66" s="4">
        <v>5</v>
      </c>
      <c r="AB66" s="7">
        <v>32.5</v>
      </c>
      <c r="AC66" s="7">
        <f t="shared" ref="AC66:AC97" si="5">AB66/AD66</f>
        <v>0.3186243272124783</v>
      </c>
      <c r="AD66" s="7">
        <v>102.001</v>
      </c>
      <c r="AE66" s="9">
        <v>45987</v>
      </c>
      <c r="AF66" s="9">
        <v>45987</v>
      </c>
      <c r="AG66" s="10">
        <v>0.5644675925925926</v>
      </c>
      <c r="AH66" s="4" t="s">
        <v>188</v>
      </c>
      <c r="AI66" s="4" t="s">
        <v>134</v>
      </c>
      <c r="AJ66" s="4" t="s">
        <v>135</v>
      </c>
      <c r="AK66" s="4" t="s">
        <v>136</v>
      </c>
      <c r="AL66" s="4" t="s">
        <v>137</v>
      </c>
      <c r="AM66" s="4" t="s">
        <v>138</v>
      </c>
      <c r="AN66" s="4" t="s">
        <v>139</v>
      </c>
      <c r="AO66" s="4" t="s">
        <v>140</v>
      </c>
      <c r="AP66" s="4" t="s">
        <v>141</v>
      </c>
      <c r="AQ66" s="4" t="s">
        <v>142</v>
      </c>
      <c r="AR66" s="4" t="s">
        <v>143</v>
      </c>
    </row>
    <row r="67" spans="1:44" x14ac:dyDescent="0.2">
      <c r="A67" s="8" t="s">
        <v>433</v>
      </c>
      <c r="B67" s="8" t="s">
        <v>434</v>
      </c>
      <c r="C67" s="8" t="s">
        <v>435</v>
      </c>
      <c r="D67" s="8" t="s">
        <v>436</v>
      </c>
      <c r="E67" s="8" t="s">
        <v>962</v>
      </c>
      <c r="F67" s="5">
        <v>592</v>
      </c>
      <c r="G67" s="5"/>
      <c r="H67" s="12"/>
      <c r="I67" s="5" t="s">
        <v>785</v>
      </c>
      <c r="J67" s="5" t="s">
        <v>785</v>
      </c>
      <c r="K67" s="5">
        <v>1488</v>
      </c>
      <c r="L67" s="5">
        <v>373</v>
      </c>
      <c r="M67" s="6" t="s">
        <v>776</v>
      </c>
      <c r="N67" s="6">
        <v>5.2999999999999999E-2</v>
      </c>
      <c r="O67" s="8" t="s">
        <v>133</v>
      </c>
      <c r="P67" s="8" t="s">
        <v>41</v>
      </c>
      <c r="Q67" s="8" t="s">
        <v>780</v>
      </c>
      <c r="R67" s="8" t="s">
        <v>41</v>
      </c>
      <c r="S67" s="8">
        <v>6</v>
      </c>
      <c r="T67" s="8">
        <v>6</v>
      </c>
      <c r="U67" s="8">
        <v>380</v>
      </c>
      <c r="V67" s="8">
        <v>572</v>
      </c>
      <c r="W67" s="8">
        <f t="shared" si="4"/>
        <v>672</v>
      </c>
      <c r="X67" s="4" t="s">
        <v>767</v>
      </c>
      <c r="Y67" s="4"/>
      <c r="Z67" s="4" t="s">
        <v>768</v>
      </c>
      <c r="AA67" s="4">
        <v>5</v>
      </c>
      <c r="AB67" s="7">
        <v>32.5</v>
      </c>
      <c r="AC67" s="7">
        <f t="shared" si="5"/>
        <v>0.3186243272124783</v>
      </c>
      <c r="AD67" s="7">
        <v>102.001</v>
      </c>
      <c r="AE67" s="9">
        <v>45987</v>
      </c>
      <c r="AF67" s="9">
        <v>45987</v>
      </c>
      <c r="AG67" s="10">
        <v>0.57033564814814819</v>
      </c>
      <c r="AH67" s="4" t="s">
        <v>188</v>
      </c>
      <c r="AI67" s="4" t="s">
        <v>134</v>
      </c>
      <c r="AJ67" s="4" t="s">
        <v>135</v>
      </c>
      <c r="AK67" s="4" t="s">
        <v>136</v>
      </c>
      <c r="AL67" s="4" t="s">
        <v>137</v>
      </c>
      <c r="AM67" s="4" t="s">
        <v>138</v>
      </c>
      <c r="AN67" s="4" t="s">
        <v>139</v>
      </c>
      <c r="AO67" s="4" t="s">
        <v>140</v>
      </c>
      <c r="AP67" s="4" t="s">
        <v>141</v>
      </c>
      <c r="AQ67" s="4" t="s">
        <v>142</v>
      </c>
      <c r="AR67" s="4" t="s">
        <v>143</v>
      </c>
    </row>
    <row r="68" spans="1:44" x14ac:dyDescent="0.2">
      <c r="A68" s="8" t="s">
        <v>477</v>
      </c>
      <c r="B68" s="8" t="s">
        <v>478</v>
      </c>
      <c r="C68" s="8" t="s">
        <v>479</v>
      </c>
      <c r="D68" s="8" t="s">
        <v>480</v>
      </c>
      <c r="E68" s="8" t="s">
        <v>962</v>
      </c>
      <c r="F68" s="5">
        <v>748</v>
      </c>
      <c r="G68" s="5"/>
      <c r="H68" s="12"/>
      <c r="I68" s="5" t="s">
        <v>785</v>
      </c>
      <c r="J68" s="5" t="s">
        <v>785</v>
      </c>
      <c r="K68" s="5">
        <v>1488</v>
      </c>
      <c r="L68" s="5">
        <v>373</v>
      </c>
      <c r="M68" s="6" t="s">
        <v>776</v>
      </c>
      <c r="N68" s="6">
        <v>0.22700000000000001</v>
      </c>
      <c r="O68" s="8" t="s">
        <v>133</v>
      </c>
      <c r="P68" s="8" t="s">
        <v>25</v>
      </c>
      <c r="Q68" s="8" t="s">
        <v>780</v>
      </c>
      <c r="R68" s="8" t="s">
        <v>25</v>
      </c>
      <c r="S68" s="8">
        <v>6</v>
      </c>
      <c r="T68" s="8">
        <v>6</v>
      </c>
      <c r="U68" s="8">
        <v>635</v>
      </c>
      <c r="V68" s="8">
        <v>725</v>
      </c>
      <c r="W68" s="8">
        <f t="shared" si="4"/>
        <v>825</v>
      </c>
      <c r="X68" s="4" t="s">
        <v>767</v>
      </c>
      <c r="Y68" s="4"/>
      <c r="Z68" s="4" t="s">
        <v>768</v>
      </c>
      <c r="AA68" s="4">
        <v>5</v>
      </c>
      <c r="AB68" s="7">
        <v>32.5</v>
      </c>
      <c r="AC68" s="7">
        <f t="shared" si="5"/>
        <v>0.3186243272124783</v>
      </c>
      <c r="AD68" s="7">
        <v>102.001</v>
      </c>
      <c r="AE68" s="9">
        <v>45987</v>
      </c>
      <c r="AF68" s="9">
        <v>45987</v>
      </c>
      <c r="AG68" s="10">
        <v>0.51611111111111108</v>
      </c>
      <c r="AH68" s="4" t="s">
        <v>188</v>
      </c>
      <c r="AI68" s="4" t="s">
        <v>134</v>
      </c>
      <c r="AJ68" s="4" t="s">
        <v>135</v>
      </c>
      <c r="AK68" s="4" t="s">
        <v>136</v>
      </c>
      <c r="AL68" s="4" t="s">
        <v>137</v>
      </c>
      <c r="AM68" s="4" t="s">
        <v>138</v>
      </c>
      <c r="AN68" s="4" t="s">
        <v>139</v>
      </c>
      <c r="AO68" s="4" t="s">
        <v>140</v>
      </c>
      <c r="AP68" s="4" t="s">
        <v>141</v>
      </c>
      <c r="AQ68" s="4" t="s">
        <v>142</v>
      </c>
      <c r="AR68" s="4" t="s">
        <v>143</v>
      </c>
    </row>
    <row r="69" spans="1:44" x14ac:dyDescent="0.2">
      <c r="A69" s="8" t="s">
        <v>481</v>
      </c>
      <c r="B69" s="8" t="s">
        <v>482</v>
      </c>
      <c r="C69" s="8" t="s">
        <v>483</v>
      </c>
      <c r="D69" s="8" t="s">
        <v>484</v>
      </c>
      <c r="E69" s="8" t="s">
        <v>962</v>
      </c>
      <c r="F69" s="14"/>
      <c r="G69" s="14"/>
      <c r="H69" s="15" t="s">
        <v>968</v>
      </c>
      <c r="I69" s="5" t="s">
        <v>785</v>
      </c>
      <c r="J69" s="5" t="s">
        <v>785</v>
      </c>
      <c r="K69" s="5">
        <v>1488</v>
      </c>
      <c r="L69" s="5">
        <v>373</v>
      </c>
      <c r="M69" s="6" t="s">
        <v>776</v>
      </c>
      <c r="N69" s="6">
        <v>6.8000000000000005E-2</v>
      </c>
      <c r="O69" s="8" t="s">
        <v>133</v>
      </c>
      <c r="P69" s="8" t="s">
        <v>25</v>
      </c>
      <c r="Q69" s="8" t="s">
        <v>780</v>
      </c>
      <c r="R69" s="8" t="s">
        <v>25</v>
      </c>
      <c r="S69" s="8">
        <v>6</v>
      </c>
      <c r="T69" s="8">
        <v>6</v>
      </c>
      <c r="U69" s="8">
        <v>0</v>
      </c>
      <c r="V69" s="8">
        <v>50</v>
      </c>
      <c r="W69" s="8">
        <f t="shared" si="4"/>
        <v>150</v>
      </c>
      <c r="X69" s="4" t="s">
        <v>767</v>
      </c>
      <c r="Y69" s="4"/>
      <c r="Z69" s="4" t="s">
        <v>768</v>
      </c>
      <c r="AA69" s="4">
        <v>5</v>
      </c>
      <c r="AB69" s="7">
        <v>32.5</v>
      </c>
      <c r="AC69" s="7">
        <f t="shared" si="5"/>
        <v>0.3186243272124783</v>
      </c>
      <c r="AD69" s="7">
        <v>102.001</v>
      </c>
      <c r="AE69" s="9">
        <v>45987</v>
      </c>
      <c r="AF69" s="9">
        <v>45987</v>
      </c>
      <c r="AG69" s="10">
        <v>0.51864583333333336</v>
      </c>
      <c r="AH69" s="4" t="s">
        <v>188</v>
      </c>
      <c r="AI69" s="4" t="s">
        <v>134</v>
      </c>
      <c r="AJ69" s="4" t="s">
        <v>135</v>
      </c>
      <c r="AK69" s="4" t="s">
        <v>136</v>
      </c>
      <c r="AL69" s="4" t="s">
        <v>137</v>
      </c>
      <c r="AM69" s="4" t="s">
        <v>138</v>
      </c>
      <c r="AN69" s="4" t="s">
        <v>139</v>
      </c>
      <c r="AO69" s="4" t="s">
        <v>140</v>
      </c>
      <c r="AP69" s="4" t="s">
        <v>141</v>
      </c>
      <c r="AQ69" s="4" t="s">
        <v>142</v>
      </c>
      <c r="AR69" s="4" t="s">
        <v>143</v>
      </c>
    </row>
    <row r="70" spans="1:44" x14ac:dyDescent="0.2">
      <c r="A70" s="8" t="s">
        <v>485</v>
      </c>
      <c r="B70" s="8" t="s">
        <v>486</v>
      </c>
      <c r="C70" s="8" t="s">
        <v>487</v>
      </c>
      <c r="D70" s="8" t="s">
        <v>488</v>
      </c>
      <c r="E70" s="8" t="s">
        <v>962</v>
      </c>
      <c r="F70" s="14"/>
      <c r="G70" s="14"/>
      <c r="H70" s="15" t="s">
        <v>968</v>
      </c>
      <c r="I70" s="5" t="s">
        <v>785</v>
      </c>
      <c r="J70" s="5" t="s">
        <v>785</v>
      </c>
      <c r="K70" s="5">
        <v>1488</v>
      </c>
      <c r="L70" s="5">
        <v>373</v>
      </c>
      <c r="M70" s="6" t="s">
        <v>776</v>
      </c>
      <c r="N70" s="6">
        <v>0.6</v>
      </c>
      <c r="O70" s="8" t="s">
        <v>133</v>
      </c>
      <c r="P70" s="8" t="s">
        <v>25</v>
      </c>
      <c r="Q70" s="8" t="s">
        <v>780</v>
      </c>
      <c r="R70" s="8" t="s">
        <v>25</v>
      </c>
      <c r="S70" s="8">
        <v>6</v>
      </c>
      <c r="T70" s="8">
        <v>6</v>
      </c>
      <c r="U70" s="8">
        <v>195</v>
      </c>
      <c r="V70" s="8">
        <v>260</v>
      </c>
      <c r="W70" s="8">
        <f t="shared" si="4"/>
        <v>360</v>
      </c>
      <c r="X70" s="4" t="s">
        <v>767</v>
      </c>
      <c r="Y70" s="4"/>
      <c r="Z70" s="4" t="s">
        <v>768</v>
      </c>
      <c r="AA70" s="4">
        <v>5</v>
      </c>
      <c r="AB70" s="7">
        <v>32.5</v>
      </c>
      <c r="AC70" s="7">
        <f t="shared" si="5"/>
        <v>0.3186243272124783</v>
      </c>
      <c r="AD70" s="7">
        <v>102.001</v>
      </c>
      <c r="AE70" s="9">
        <v>45987</v>
      </c>
      <c r="AF70" s="9">
        <v>45987</v>
      </c>
      <c r="AG70" s="10">
        <v>0.51894675925925926</v>
      </c>
      <c r="AH70" s="4" t="s">
        <v>188</v>
      </c>
      <c r="AI70" s="4" t="s">
        <v>134</v>
      </c>
      <c r="AJ70" s="4" t="s">
        <v>135</v>
      </c>
      <c r="AK70" s="4" t="s">
        <v>136</v>
      </c>
      <c r="AL70" s="4" t="s">
        <v>137</v>
      </c>
      <c r="AM70" s="4" t="s">
        <v>138</v>
      </c>
      <c r="AN70" s="4" t="s">
        <v>139</v>
      </c>
      <c r="AO70" s="4" t="s">
        <v>140</v>
      </c>
      <c r="AP70" s="4" t="s">
        <v>141</v>
      </c>
      <c r="AQ70" s="4" t="s">
        <v>142</v>
      </c>
      <c r="AR70" s="4" t="s">
        <v>143</v>
      </c>
    </row>
    <row r="71" spans="1:44" x14ac:dyDescent="0.2">
      <c r="A71" s="8" t="s">
        <v>79</v>
      </c>
      <c r="B71" s="8" t="s">
        <v>80</v>
      </c>
      <c r="C71" s="8" t="s">
        <v>81</v>
      </c>
      <c r="D71" s="8" t="s">
        <v>82</v>
      </c>
      <c r="E71" s="8" t="s">
        <v>962</v>
      </c>
      <c r="F71" s="5">
        <v>622</v>
      </c>
      <c r="G71" s="5"/>
      <c r="H71" s="12"/>
      <c r="I71" s="5" t="s">
        <v>785</v>
      </c>
      <c r="J71" s="5" t="s">
        <v>785</v>
      </c>
      <c r="K71" s="5">
        <v>649</v>
      </c>
      <c r="L71" s="5">
        <v>292</v>
      </c>
      <c r="M71" s="6" t="s">
        <v>776</v>
      </c>
      <c r="N71" s="6">
        <v>7.8E-2</v>
      </c>
      <c r="O71" s="8" t="s">
        <v>24</v>
      </c>
      <c r="P71" s="8" t="s">
        <v>41</v>
      </c>
      <c r="Q71" s="8" t="s">
        <v>780</v>
      </c>
      <c r="R71" s="8" t="s">
        <v>41</v>
      </c>
      <c r="S71" s="8">
        <v>2</v>
      </c>
      <c r="T71" s="8">
        <v>2</v>
      </c>
      <c r="U71" s="8">
        <v>300</v>
      </c>
      <c r="V71" s="8">
        <v>414</v>
      </c>
      <c r="W71" s="8">
        <f t="shared" si="4"/>
        <v>514</v>
      </c>
      <c r="X71" s="4" t="s">
        <v>767</v>
      </c>
      <c r="Y71" s="4" t="s">
        <v>767</v>
      </c>
      <c r="Z71" s="4" t="s">
        <v>768</v>
      </c>
      <c r="AA71" s="4">
        <v>4</v>
      </c>
      <c r="AB71" s="7">
        <v>32.5</v>
      </c>
      <c r="AC71" s="7">
        <f t="shared" si="5"/>
        <v>0.28504271255415814</v>
      </c>
      <c r="AD71" s="7">
        <v>114.018</v>
      </c>
      <c r="AE71" s="9">
        <v>46010</v>
      </c>
      <c r="AF71" s="9">
        <v>46010</v>
      </c>
      <c r="AG71" s="10">
        <v>0.6508680555555556</v>
      </c>
      <c r="AH71" s="4" t="s">
        <v>26</v>
      </c>
      <c r="AI71" s="4" t="s">
        <v>70</v>
      </c>
      <c r="AJ71" s="4" t="s">
        <v>71</v>
      </c>
      <c r="AK71" s="4" t="s">
        <v>72</v>
      </c>
      <c r="AL71" s="4" t="s">
        <v>73</v>
      </c>
      <c r="AM71" s="4" t="s">
        <v>74</v>
      </c>
      <c r="AN71" s="4" t="s">
        <v>75</v>
      </c>
      <c r="AO71" s="4" t="s">
        <v>76</v>
      </c>
      <c r="AP71" s="4" t="s">
        <v>77</v>
      </c>
      <c r="AQ71" s="4" t="s">
        <v>78</v>
      </c>
      <c r="AR71" s="4"/>
    </row>
    <row r="72" spans="1:44" x14ac:dyDescent="0.2">
      <c r="A72" s="8" t="s">
        <v>113</v>
      </c>
      <c r="B72" s="8" t="s">
        <v>114</v>
      </c>
      <c r="C72" s="8" t="s">
        <v>115</v>
      </c>
      <c r="D72" s="8" t="s">
        <v>116</v>
      </c>
      <c r="E72" s="8" t="s">
        <v>962</v>
      </c>
      <c r="F72" s="5">
        <v>667</v>
      </c>
      <c r="G72" s="5"/>
      <c r="H72" s="12"/>
      <c r="I72" s="5" t="s">
        <v>785</v>
      </c>
      <c r="J72" s="5" t="s">
        <v>785</v>
      </c>
      <c r="K72" s="5">
        <v>641</v>
      </c>
      <c r="L72" s="5">
        <v>292</v>
      </c>
      <c r="M72" s="6" t="s">
        <v>776</v>
      </c>
      <c r="N72" s="6">
        <v>0.12</v>
      </c>
      <c r="O72" s="8" t="s">
        <v>24</v>
      </c>
      <c r="P72" s="8" t="s">
        <v>25</v>
      </c>
      <c r="Q72" s="8" t="s">
        <v>779</v>
      </c>
      <c r="R72" s="8" t="s">
        <v>25</v>
      </c>
      <c r="S72" s="8">
        <v>3</v>
      </c>
      <c r="T72" s="8">
        <v>3</v>
      </c>
      <c r="U72" s="8">
        <v>450</v>
      </c>
      <c r="V72" s="8">
        <v>626</v>
      </c>
      <c r="W72" s="8">
        <f t="shared" si="4"/>
        <v>726</v>
      </c>
      <c r="X72" s="4" t="s">
        <v>767</v>
      </c>
      <c r="Y72" s="4" t="s">
        <v>766</v>
      </c>
      <c r="Z72" s="4" t="s">
        <v>768</v>
      </c>
      <c r="AA72" s="4">
        <v>4</v>
      </c>
      <c r="AB72" s="7">
        <v>32.5</v>
      </c>
      <c r="AC72" s="7">
        <f t="shared" si="5"/>
        <v>0.28504271255415814</v>
      </c>
      <c r="AD72" s="7">
        <v>114.018</v>
      </c>
      <c r="AE72" s="9">
        <v>46010</v>
      </c>
      <c r="AF72" s="9">
        <v>46010</v>
      </c>
      <c r="AG72" s="10">
        <v>0.61692129629629633</v>
      </c>
      <c r="AH72" s="4" t="s">
        <v>26</v>
      </c>
      <c r="AI72" s="4" t="s">
        <v>70</v>
      </c>
      <c r="AJ72" s="4" t="s">
        <v>71</v>
      </c>
      <c r="AK72" s="4" t="s">
        <v>72</v>
      </c>
      <c r="AL72" s="4" t="s">
        <v>73</v>
      </c>
      <c r="AM72" s="4" t="s">
        <v>74</v>
      </c>
      <c r="AN72" s="4" t="s">
        <v>75</v>
      </c>
      <c r="AO72" s="4" t="s">
        <v>76</v>
      </c>
      <c r="AP72" s="4" t="s">
        <v>77</v>
      </c>
      <c r="AQ72" s="4" t="s">
        <v>78</v>
      </c>
      <c r="AR72" s="4"/>
    </row>
    <row r="73" spans="1:44" x14ac:dyDescent="0.2">
      <c r="A73" s="8" t="s">
        <v>109</v>
      </c>
      <c r="B73" s="8" t="s">
        <v>110</v>
      </c>
      <c r="C73" s="8" t="s">
        <v>111</v>
      </c>
      <c r="D73" s="8" t="s">
        <v>112</v>
      </c>
      <c r="E73" s="8" t="s">
        <v>962</v>
      </c>
      <c r="F73" s="5">
        <v>562</v>
      </c>
      <c r="G73" s="5"/>
      <c r="H73" s="12"/>
      <c r="I73" s="5" t="s">
        <v>785</v>
      </c>
      <c r="J73" s="5" t="s">
        <v>785</v>
      </c>
      <c r="K73" s="5">
        <v>649</v>
      </c>
      <c r="L73" s="5">
        <v>292</v>
      </c>
      <c r="M73" s="6" t="s">
        <v>776</v>
      </c>
      <c r="N73" s="6">
        <v>0.112</v>
      </c>
      <c r="O73" s="8" t="s">
        <v>24</v>
      </c>
      <c r="P73" s="8" t="s">
        <v>25</v>
      </c>
      <c r="Q73" s="8" t="s">
        <v>779</v>
      </c>
      <c r="R73" s="8" t="s">
        <v>25</v>
      </c>
      <c r="S73" s="8">
        <v>4</v>
      </c>
      <c r="T73" s="8">
        <v>4</v>
      </c>
      <c r="U73" s="8">
        <v>356</v>
      </c>
      <c r="V73" s="8">
        <v>546</v>
      </c>
      <c r="W73" s="8">
        <f t="shared" si="4"/>
        <v>646</v>
      </c>
      <c r="X73" s="4" t="s">
        <v>766</v>
      </c>
      <c r="Y73" s="4" t="s">
        <v>766</v>
      </c>
      <c r="Z73" s="4" t="s">
        <v>768</v>
      </c>
      <c r="AA73" s="4">
        <v>4</v>
      </c>
      <c r="AB73" s="7">
        <v>32.5</v>
      </c>
      <c r="AC73" s="7">
        <f t="shared" si="5"/>
        <v>0.28504271255415814</v>
      </c>
      <c r="AD73" s="7">
        <v>114.018</v>
      </c>
      <c r="AE73" s="9">
        <v>46010</v>
      </c>
      <c r="AF73" s="9">
        <v>46010</v>
      </c>
      <c r="AG73" s="10">
        <v>0.62581018518518516</v>
      </c>
      <c r="AH73" s="4" t="s">
        <v>26</v>
      </c>
      <c r="AI73" s="4" t="s">
        <v>70</v>
      </c>
      <c r="AJ73" s="4" t="s">
        <v>71</v>
      </c>
      <c r="AK73" s="4" t="s">
        <v>72</v>
      </c>
      <c r="AL73" s="4" t="s">
        <v>73</v>
      </c>
      <c r="AM73" s="4" t="s">
        <v>74</v>
      </c>
      <c r="AN73" s="4" t="s">
        <v>75</v>
      </c>
      <c r="AO73" s="4" t="s">
        <v>76</v>
      </c>
      <c r="AP73" s="4" t="s">
        <v>77</v>
      </c>
      <c r="AQ73" s="4" t="s">
        <v>78</v>
      </c>
      <c r="AR73" s="4"/>
    </row>
    <row r="74" spans="1:44" x14ac:dyDescent="0.2">
      <c r="A74" s="8" t="s">
        <v>117</v>
      </c>
      <c r="B74" s="8" t="s">
        <v>118</v>
      </c>
      <c r="C74" s="8" t="s">
        <v>119</v>
      </c>
      <c r="D74" s="8" t="s">
        <v>120</v>
      </c>
      <c r="E74" s="8" t="s">
        <v>962</v>
      </c>
      <c r="F74" s="5">
        <v>598</v>
      </c>
      <c r="G74" s="5"/>
      <c r="H74" s="12"/>
      <c r="I74" s="5" t="s">
        <v>785</v>
      </c>
      <c r="J74" s="5" t="s">
        <v>785</v>
      </c>
      <c r="K74" s="5">
        <v>649</v>
      </c>
      <c r="L74" s="5">
        <v>292</v>
      </c>
      <c r="M74" s="6" t="s">
        <v>776</v>
      </c>
      <c r="N74" s="6">
        <v>9.5000000000000001E-2</v>
      </c>
      <c r="O74" s="8" t="s">
        <v>24</v>
      </c>
      <c r="P74" s="8" t="s">
        <v>25</v>
      </c>
      <c r="Q74" s="8" t="s">
        <v>779</v>
      </c>
      <c r="R74" s="8" t="s">
        <v>25</v>
      </c>
      <c r="S74" s="8">
        <v>4</v>
      </c>
      <c r="T74" s="8">
        <v>4</v>
      </c>
      <c r="U74" s="8">
        <v>513</v>
      </c>
      <c r="V74" s="8">
        <v>556</v>
      </c>
      <c r="W74" s="8">
        <f t="shared" si="4"/>
        <v>656</v>
      </c>
      <c r="X74" s="4" t="s">
        <v>766</v>
      </c>
      <c r="Y74" s="4" t="s">
        <v>766</v>
      </c>
      <c r="Z74" s="4" t="s">
        <v>768</v>
      </c>
      <c r="AA74" s="4">
        <v>4</v>
      </c>
      <c r="AB74" s="7">
        <v>32.5</v>
      </c>
      <c r="AC74" s="7">
        <f t="shared" si="5"/>
        <v>0.28504271255415814</v>
      </c>
      <c r="AD74" s="7">
        <v>114.018</v>
      </c>
      <c r="AE74" s="9">
        <v>46010</v>
      </c>
      <c r="AF74" s="9">
        <v>46010</v>
      </c>
      <c r="AG74" s="10">
        <v>0.62339120370370371</v>
      </c>
      <c r="AH74" s="4" t="s">
        <v>26</v>
      </c>
      <c r="AI74" s="4" t="s">
        <v>70</v>
      </c>
      <c r="AJ74" s="4" t="s">
        <v>71</v>
      </c>
      <c r="AK74" s="4" t="s">
        <v>72</v>
      </c>
      <c r="AL74" s="4" t="s">
        <v>73</v>
      </c>
      <c r="AM74" s="4" t="s">
        <v>74</v>
      </c>
      <c r="AN74" s="4" t="s">
        <v>75</v>
      </c>
      <c r="AO74" s="4" t="s">
        <v>76</v>
      </c>
      <c r="AP74" s="4" t="s">
        <v>77</v>
      </c>
      <c r="AQ74" s="4" t="s">
        <v>78</v>
      </c>
      <c r="AR74" s="4"/>
    </row>
    <row r="75" spans="1:44" x14ac:dyDescent="0.2">
      <c r="A75" s="8" t="s">
        <v>121</v>
      </c>
      <c r="B75" s="8" t="s">
        <v>122</v>
      </c>
      <c r="C75" s="8" t="s">
        <v>123</v>
      </c>
      <c r="D75" s="8" t="s">
        <v>124</v>
      </c>
      <c r="E75" s="8" t="s">
        <v>962</v>
      </c>
      <c r="F75" s="5">
        <v>570</v>
      </c>
      <c r="G75" s="5"/>
      <c r="H75" s="12"/>
      <c r="I75" s="5" t="s">
        <v>785</v>
      </c>
      <c r="J75" s="5" t="s">
        <v>785</v>
      </c>
      <c r="K75" s="5">
        <v>649</v>
      </c>
      <c r="L75" s="5">
        <v>292</v>
      </c>
      <c r="M75" s="6" t="s">
        <v>776</v>
      </c>
      <c r="N75" s="6">
        <v>0.09</v>
      </c>
      <c r="O75" s="8" t="s">
        <v>24</v>
      </c>
      <c r="P75" s="8" t="s">
        <v>25</v>
      </c>
      <c r="Q75" s="8" t="s">
        <v>779</v>
      </c>
      <c r="R75" s="8" t="s">
        <v>25</v>
      </c>
      <c r="S75" s="8">
        <v>4</v>
      </c>
      <c r="T75" s="8">
        <v>4</v>
      </c>
      <c r="U75" s="8">
        <v>497</v>
      </c>
      <c r="V75" s="8">
        <v>554</v>
      </c>
      <c r="W75" s="8">
        <f t="shared" si="4"/>
        <v>654</v>
      </c>
      <c r="X75" s="4" t="s">
        <v>766</v>
      </c>
      <c r="Y75" s="4" t="s">
        <v>766</v>
      </c>
      <c r="Z75" s="4" t="s">
        <v>768</v>
      </c>
      <c r="AA75" s="4">
        <v>4</v>
      </c>
      <c r="AB75" s="7">
        <v>32.5</v>
      </c>
      <c r="AC75" s="7">
        <f t="shared" si="5"/>
        <v>0.28504271255415814</v>
      </c>
      <c r="AD75" s="7">
        <v>114.018</v>
      </c>
      <c r="AE75" s="9">
        <v>46010</v>
      </c>
      <c r="AF75" s="9">
        <v>46010</v>
      </c>
      <c r="AG75" s="10">
        <v>0.62621527777777775</v>
      </c>
      <c r="AH75" s="4" t="s">
        <v>26</v>
      </c>
      <c r="AI75" s="4" t="s">
        <v>70</v>
      </c>
      <c r="AJ75" s="4" t="s">
        <v>71</v>
      </c>
      <c r="AK75" s="4" t="s">
        <v>72</v>
      </c>
      <c r="AL75" s="4" t="s">
        <v>73</v>
      </c>
      <c r="AM75" s="4" t="s">
        <v>74</v>
      </c>
      <c r="AN75" s="4" t="s">
        <v>75</v>
      </c>
      <c r="AO75" s="4" t="s">
        <v>76</v>
      </c>
      <c r="AP75" s="4" t="s">
        <v>77</v>
      </c>
      <c r="AQ75" s="4" t="s">
        <v>78</v>
      </c>
      <c r="AR75" s="4"/>
    </row>
    <row r="76" spans="1:44" x14ac:dyDescent="0.2">
      <c r="A76" s="8" t="s">
        <v>125</v>
      </c>
      <c r="B76" s="8" t="s">
        <v>126</v>
      </c>
      <c r="C76" s="8" t="s">
        <v>127</v>
      </c>
      <c r="D76" s="8" t="s">
        <v>128</v>
      </c>
      <c r="E76" s="8" t="s">
        <v>962</v>
      </c>
      <c r="F76" s="5">
        <v>544</v>
      </c>
      <c r="G76" s="5"/>
      <c r="H76" s="12"/>
      <c r="I76" s="5" t="s">
        <v>786</v>
      </c>
      <c r="J76" s="5" t="s">
        <v>786</v>
      </c>
      <c r="K76" s="5">
        <v>649</v>
      </c>
      <c r="L76" s="5">
        <v>292</v>
      </c>
      <c r="M76" s="6" t="s">
        <v>776</v>
      </c>
      <c r="N76" s="6">
        <v>0.1</v>
      </c>
      <c r="O76" s="8" t="s">
        <v>24</v>
      </c>
      <c r="P76" s="8" t="s">
        <v>25</v>
      </c>
      <c r="Q76" s="8" t="s">
        <v>779</v>
      </c>
      <c r="R76" s="8" t="s">
        <v>25</v>
      </c>
      <c r="S76" s="8">
        <v>4</v>
      </c>
      <c r="T76" s="8">
        <v>4</v>
      </c>
      <c r="U76" s="8">
        <v>485</v>
      </c>
      <c r="V76" s="8">
        <v>516</v>
      </c>
      <c r="W76" s="8">
        <f t="shared" si="4"/>
        <v>616</v>
      </c>
      <c r="X76" s="4" t="s">
        <v>766</v>
      </c>
      <c r="Y76" s="4" t="s">
        <v>766</v>
      </c>
      <c r="Z76" s="4" t="s">
        <v>768</v>
      </c>
      <c r="AA76" s="4">
        <v>4</v>
      </c>
      <c r="AB76" s="7">
        <v>32.5</v>
      </c>
      <c r="AC76" s="7">
        <f t="shared" si="5"/>
        <v>0.28504271255415814</v>
      </c>
      <c r="AD76" s="7">
        <v>114.018</v>
      </c>
      <c r="AE76" s="9">
        <v>46010</v>
      </c>
      <c r="AF76" s="9">
        <v>46010</v>
      </c>
      <c r="AG76" s="10">
        <v>0.62634259259259262</v>
      </c>
      <c r="AH76" s="4" t="s">
        <v>26</v>
      </c>
      <c r="AI76" s="4" t="s">
        <v>70</v>
      </c>
      <c r="AJ76" s="4" t="s">
        <v>71</v>
      </c>
      <c r="AK76" s="4" t="s">
        <v>72</v>
      </c>
      <c r="AL76" s="4" t="s">
        <v>73</v>
      </c>
      <c r="AM76" s="4" t="s">
        <v>74</v>
      </c>
      <c r="AN76" s="4" t="s">
        <v>75</v>
      </c>
      <c r="AO76" s="4" t="s">
        <v>76</v>
      </c>
      <c r="AP76" s="4" t="s">
        <v>77</v>
      </c>
      <c r="AQ76" s="4" t="s">
        <v>78</v>
      </c>
      <c r="AR76" s="4"/>
    </row>
    <row r="77" spans="1:44" x14ac:dyDescent="0.2">
      <c r="A77" s="8" t="s">
        <v>66</v>
      </c>
      <c r="B77" s="8" t="s">
        <v>67</v>
      </c>
      <c r="C77" s="8" t="s">
        <v>68</v>
      </c>
      <c r="D77" s="8" t="s">
        <v>69</v>
      </c>
      <c r="E77" s="8" t="s">
        <v>962</v>
      </c>
      <c r="F77" s="5">
        <v>579</v>
      </c>
      <c r="G77" s="5"/>
      <c r="H77" s="12"/>
      <c r="I77" s="5" t="s">
        <v>785</v>
      </c>
      <c r="J77" s="5" t="s">
        <v>785</v>
      </c>
      <c r="K77" s="5">
        <v>649</v>
      </c>
      <c r="L77" s="5">
        <v>292</v>
      </c>
      <c r="M77" s="6" t="s">
        <v>776</v>
      </c>
      <c r="N77" s="6">
        <v>0.19600000000000001</v>
      </c>
      <c r="O77" s="8" t="s">
        <v>24</v>
      </c>
      <c r="P77" s="8" t="s">
        <v>25</v>
      </c>
      <c r="Q77" s="8" t="s">
        <v>779</v>
      </c>
      <c r="R77" s="8" t="s">
        <v>25</v>
      </c>
      <c r="S77" s="8">
        <v>4</v>
      </c>
      <c r="T77" s="8">
        <v>4</v>
      </c>
      <c r="U77" s="8">
        <v>500</v>
      </c>
      <c r="V77" s="8">
        <v>564</v>
      </c>
      <c r="W77" s="8">
        <f t="shared" si="4"/>
        <v>664</v>
      </c>
      <c r="X77" s="4" t="s">
        <v>766</v>
      </c>
      <c r="Y77" s="4" t="s">
        <v>766</v>
      </c>
      <c r="Z77" s="4" t="s">
        <v>768</v>
      </c>
      <c r="AA77" s="4">
        <v>4</v>
      </c>
      <c r="AB77" s="7">
        <v>32.5</v>
      </c>
      <c r="AC77" s="7">
        <f t="shared" si="5"/>
        <v>0.28504271255415814</v>
      </c>
      <c r="AD77" s="7">
        <v>114.018</v>
      </c>
      <c r="AE77" s="9">
        <v>46010</v>
      </c>
      <c r="AF77" s="9">
        <v>46010</v>
      </c>
      <c r="AG77" s="10">
        <v>0.62663194444444448</v>
      </c>
      <c r="AH77" s="4" t="s">
        <v>26</v>
      </c>
      <c r="AI77" s="4" t="s">
        <v>70</v>
      </c>
      <c r="AJ77" s="4" t="s">
        <v>71</v>
      </c>
      <c r="AK77" s="4" t="s">
        <v>72</v>
      </c>
      <c r="AL77" s="4" t="s">
        <v>73</v>
      </c>
      <c r="AM77" s="4" t="s">
        <v>74</v>
      </c>
      <c r="AN77" s="4" t="s">
        <v>75</v>
      </c>
      <c r="AO77" s="4" t="s">
        <v>76</v>
      </c>
      <c r="AP77" s="4" t="s">
        <v>77</v>
      </c>
      <c r="AQ77" s="4" t="s">
        <v>78</v>
      </c>
      <c r="AR77" s="4"/>
    </row>
    <row r="78" spans="1:44" x14ac:dyDescent="0.2">
      <c r="A78" s="8" t="s">
        <v>87</v>
      </c>
      <c r="B78" s="8" t="s">
        <v>88</v>
      </c>
      <c r="C78" s="8" t="s">
        <v>89</v>
      </c>
      <c r="D78" s="8" t="s">
        <v>90</v>
      </c>
      <c r="E78" s="8" t="s">
        <v>962</v>
      </c>
      <c r="F78" s="5">
        <v>714</v>
      </c>
      <c r="G78" s="5"/>
      <c r="H78" s="12"/>
      <c r="I78" s="5" t="s">
        <v>786</v>
      </c>
      <c r="J78" s="5" t="s">
        <v>786</v>
      </c>
      <c r="K78" s="5">
        <v>649</v>
      </c>
      <c r="L78" s="5">
        <v>292</v>
      </c>
      <c r="M78" s="6" t="s">
        <v>776</v>
      </c>
      <c r="N78" s="6">
        <v>0.24</v>
      </c>
      <c r="O78" s="8" t="s">
        <v>24</v>
      </c>
      <c r="P78" s="8" t="s">
        <v>25</v>
      </c>
      <c r="Q78" s="8" t="s">
        <v>779</v>
      </c>
      <c r="R78" s="8" t="s">
        <v>25</v>
      </c>
      <c r="S78" s="8">
        <v>4</v>
      </c>
      <c r="T78" s="8">
        <v>4</v>
      </c>
      <c r="U78" s="8">
        <v>580</v>
      </c>
      <c r="V78" s="8">
        <v>682</v>
      </c>
      <c r="W78" s="8">
        <f t="shared" si="4"/>
        <v>782</v>
      </c>
      <c r="X78" s="4" t="s">
        <v>766</v>
      </c>
      <c r="Y78" s="4"/>
      <c r="Z78" s="4" t="s">
        <v>768</v>
      </c>
      <c r="AA78" s="4">
        <v>4</v>
      </c>
      <c r="AB78" s="7">
        <v>32.5</v>
      </c>
      <c r="AC78" s="7">
        <f t="shared" si="5"/>
        <v>0.28504271255415814</v>
      </c>
      <c r="AD78" s="7">
        <v>114.018</v>
      </c>
      <c r="AE78" s="9">
        <v>46010</v>
      </c>
      <c r="AF78" s="9">
        <v>46010</v>
      </c>
      <c r="AG78" s="10">
        <v>0.62700231481481483</v>
      </c>
      <c r="AH78" s="4" t="s">
        <v>26</v>
      </c>
      <c r="AI78" s="4" t="s">
        <v>70</v>
      </c>
      <c r="AJ78" s="4" t="s">
        <v>71</v>
      </c>
      <c r="AK78" s="4" t="s">
        <v>72</v>
      </c>
      <c r="AL78" s="4" t="s">
        <v>73</v>
      </c>
      <c r="AM78" s="4" t="s">
        <v>74</v>
      </c>
      <c r="AN78" s="4" t="s">
        <v>75</v>
      </c>
      <c r="AO78" s="4" t="s">
        <v>76</v>
      </c>
      <c r="AP78" s="4" t="s">
        <v>77</v>
      </c>
      <c r="AQ78" s="4" t="s">
        <v>78</v>
      </c>
      <c r="AR78" s="4"/>
    </row>
    <row r="79" spans="1:44" x14ac:dyDescent="0.2">
      <c r="A79" s="8" t="s">
        <v>83</v>
      </c>
      <c r="B79" s="8" t="s">
        <v>84</v>
      </c>
      <c r="C79" s="8" t="s">
        <v>85</v>
      </c>
      <c r="D79" s="8" t="s">
        <v>86</v>
      </c>
      <c r="E79" s="8" t="s">
        <v>962</v>
      </c>
      <c r="F79" s="14"/>
      <c r="G79" s="14"/>
      <c r="H79" s="15" t="s">
        <v>968</v>
      </c>
      <c r="I79" s="5" t="s">
        <v>785</v>
      </c>
      <c r="J79" s="5" t="s">
        <v>785</v>
      </c>
      <c r="K79" s="5">
        <v>649</v>
      </c>
      <c r="L79" s="5">
        <v>292</v>
      </c>
      <c r="M79" s="6" t="s">
        <v>776</v>
      </c>
      <c r="N79" s="6">
        <v>0.08</v>
      </c>
      <c r="O79" s="8" t="s">
        <v>24</v>
      </c>
      <c r="P79" s="8" t="s">
        <v>41</v>
      </c>
      <c r="Q79" s="8" t="s">
        <v>780</v>
      </c>
      <c r="R79" s="8" t="s">
        <v>41</v>
      </c>
      <c r="S79" s="8">
        <v>6</v>
      </c>
      <c r="T79" s="8">
        <v>6</v>
      </c>
      <c r="U79" s="8">
        <v>432</v>
      </c>
      <c r="V79" s="8">
        <v>507</v>
      </c>
      <c r="W79" s="8">
        <f t="shared" si="4"/>
        <v>607</v>
      </c>
      <c r="X79" s="4" t="s">
        <v>766</v>
      </c>
      <c r="Y79" s="4" t="s">
        <v>766</v>
      </c>
      <c r="Z79" s="4" t="s">
        <v>768</v>
      </c>
      <c r="AA79" s="4">
        <v>4</v>
      </c>
      <c r="AB79" s="7">
        <v>32.5</v>
      </c>
      <c r="AC79" s="7">
        <f t="shared" si="5"/>
        <v>0.28504271255415814</v>
      </c>
      <c r="AD79" s="7">
        <v>114.018</v>
      </c>
      <c r="AE79" s="9">
        <v>46010</v>
      </c>
      <c r="AF79" s="9">
        <v>46010</v>
      </c>
      <c r="AG79" s="10">
        <v>0.63898148148148148</v>
      </c>
      <c r="AH79" s="4" t="s">
        <v>26</v>
      </c>
      <c r="AI79" s="4" t="s">
        <v>70</v>
      </c>
      <c r="AJ79" s="4" t="s">
        <v>71</v>
      </c>
      <c r="AK79" s="4" t="s">
        <v>72</v>
      </c>
      <c r="AL79" s="4" t="s">
        <v>73</v>
      </c>
      <c r="AM79" s="4" t="s">
        <v>74</v>
      </c>
      <c r="AN79" s="4" t="s">
        <v>75</v>
      </c>
      <c r="AO79" s="4" t="s">
        <v>76</v>
      </c>
      <c r="AP79" s="4" t="s">
        <v>77</v>
      </c>
      <c r="AQ79" s="4" t="s">
        <v>78</v>
      </c>
      <c r="AR79" s="4"/>
    </row>
    <row r="80" spans="1:44" x14ac:dyDescent="0.2">
      <c r="A80" s="8" t="s">
        <v>152</v>
      </c>
      <c r="B80" s="8" t="s">
        <v>153</v>
      </c>
      <c r="C80" s="8" t="s">
        <v>154</v>
      </c>
      <c r="D80" s="8" t="s">
        <v>155</v>
      </c>
      <c r="E80" s="8" t="s">
        <v>962</v>
      </c>
      <c r="F80" s="14"/>
      <c r="G80" s="14"/>
      <c r="H80" s="15" t="s">
        <v>968</v>
      </c>
      <c r="I80" s="5" t="s">
        <v>785</v>
      </c>
      <c r="J80" s="5" t="s">
        <v>785</v>
      </c>
      <c r="K80" s="5">
        <v>649</v>
      </c>
      <c r="L80" s="5">
        <v>292</v>
      </c>
      <c r="M80" s="6" t="s">
        <v>776</v>
      </c>
      <c r="N80" s="6">
        <v>0.54</v>
      </c>
      <c r="O80" s="8" t="s">
        <v>24</v>
      </c>
      <c r="P80" s="8" t="s">
        <v>41</v>
      </c>
      <c r="Q80" s="8" t="s">
        <v>780</v>
      </c>
      <c r="R80" s="8" t="s">
        <v>41</v>
      </c>
      <c r="S80" s="8">
        <v>6</v>
      </c>
      <c r="T80" s="8">
        <v>6</v>
      </c>
      <c r="U80" s="8">
        <v>303</v>
      </c>
      <c r="V80" s="8">
        <v>492</v>
      </c>
      <c r="W80" s="8">
        <f t="shared" si="4"/>
        <v>592</v>
      </c>
      <c r="X80" s="4" t="s">
        <v>766</v>
      </c>
      <c r="Y80" s="4" t="s">
        <v>766</v>
      </c>
      <c r="Z80" s="4" t="s">
        <v>768</v>
      </c>
      <c r="AA80" s="4">
        <v>4</v>
      </c>
      <c r="AB80" s="7">
        <v>32.5</v>
      </c>
      <c r="AC80" s="7">
        <f t="shared" si="5"/>
        <v>0.28504271255415814</v>
      </c>
      <c r="AD80" s="7">
        <v>114.018</v>
      </c>
      <c r="AE80" s="9">
        <v>46010</v>
      </c>
      <c r="AF80" s="9">
        <v>46010</v>
      </c>
      <c r="AG80" s="10">
        <v>0.63936342592592588</v>
      </c>
      <c r="AH80" s="4" t="s">
        <v>26</v>
      </c>
      <c r="AI80" s="4" t="s">
        <v>70</v>
      </c>
      <c r="AJ80" s="4" t="s">
        <v>71</v>
      </c>
      <c r="AK80" s="4" t="s">
        <v>72</v>
      </c>
      <c r="AL80" s="4" t="s">
        <v>73</v>
      </c>
      <c r="AM80" s="4" t="s">
        <v>74</v>
      </c>
      <c r="AN80" s="4" t="s">
        <v>75</v>
      </c>
      <c r="AO80" s="4" t="s">
        <v>76</v>
      </c>
      <c r="AP80" s="4" t="s">
        <v>77</v>
      </c>
      <c r="AQ80" s="4" t="s">
        <v>78</v>
      </c>
      <c r="AR80" s="4"/>
    </row>
    <row r="81" spans="1:44" x14ac:dyDescent="0.2">
      <c r="A81" s="8" t="s">
        <v>233</v>
      </c>
      <c r="B81" s="8" t="s">
        <v>234</v>
      </c>
      <c r="C81" s="8" t="s">
        <v>235</v>
      </c>
      <c r="D81" s="8" t="s">
        <v>236</v>
      </c>
      <c r="E81" s="8" t="s">
        <v>962</v>
      </c>
      <c r="F81" s="14"/>
      <c r="G81" s="14"/>
      <c r="H81" s="15" t="s">
        <v>968</v>
      </c>
      <c r="I81" s="5" t="s">
        <v>785</v>
      </c>
      <c r="J81" s="5" t="s">
        <v>785</v>
      </c>
      <c r="K81" s="5">
        <v>1476</v>
      </c>
      <c r="L81" s="5">
        <v>393</v>
      </c>
      <c r="M81" s="6" t="s">
        <v>776</v>
      </c>
      <c r="N81" s="6">
        <v>0.124</v>
      </c>
      <c r="O81" s="8" t="s">
        <v>24</v>
      </c>
      <c r="P81" s="8" t="s">
        <v>41</v>
      </c>
      <c r="Q81" s="8" t="s">
        <v>780</v>
      </c>
      <c r="R81" s="8" t="s">
        <v>41</v>
      </c>
      <c r="S81" s="8">
        <v>2</v>
      </c>
      <c r="T81" s="8">
        <v>2</v>
      </c>
      <c r="U81" s="8">
        <v>477</v>
      </c>
      <c r="V81" s="8">
        <v>567</v>
      </c>
      <c r="W81" s="8">
        <f t="shared" si="4"/>
        <v>667</v>
      </c>
      <c r="X81" s="4" t="s">
        <v>767</v>
      </c>
      <c r="Y81" s="4" t="s">
        <v>767</v>
      </c>
      <c r="Z81" s="4" t="s">
        <v>768</v>
      </c>
      <c r="AA81" s="4">
        <v>5</v>
      </c>
      <c r="AB81" s="7">
        <v>32.5</v>
      </c>
      <c r="AC81" s="7">
        <f t="shared" si="5"/>
        <v>0.29268468403562647</v>
      </c>
      <c r="AD81" s="7">
        <v>111.041</v>
      </c>
      <c r="AE81" s="9">
        <v>46010</v>
      </c>
      <c r="AF81" s="9">
        <v>46010</v>
      </c>
      <c r="AG81" s="10">
        <v>0.64946759259259257</v>
      </c>
      <c r="AH81" s="4" t="s">
        <v>188</v>
      </c>
      <c r="AI81" s="4" t="s">
        <v>70</v>
      </c>
      <c r="AJ81" s="4" t="s">
        <v>71</v>
      </c>
      <c r="AK81" s="4" t="s">
        <v>72</v>
      </c>
      <c r="AL81" s="4" t="s">
        <v>73</v>
      </c>
      <c r="AM81" s="4" t="s">
        <v>74</v>
      </c>
      <c r="AN81" s="4" t="s">
        <v>75</v>
      </c>
      <c r="AO81" s="4" t="s">
        <v>76</v>
      </c>
      <c r="AP81" s="4" t="s">
        <v>77</v>
      </c>
      <c r="AQ81" s="4" t="s">
        <v>78</v>
      </c>
      <c r="AR81" s="4"/>
    </row>
    <row r="82" spans="1:44" x14ac:dyDescent="0.2">
      <c r="A82" s="8" t="s">
        <v>237</v>
      </c>
      <c r="B82" s="8" t="s">
        <v>238</v>
      </c>
      <c r="C82" s="8" t="s">
        <v>239</v>
      </c>
      <c r="D82" s="8" t="s">
        <v>240</v>
      </c>
      <c r="E82" s="8" t="s">
        <v>962</v>
      </c>
      <c r="F82" s="5">
        <v>440</v>
      </c>
      <c r="G82" s="5"/>
      <c r="H82" s="12"/>
      <c r="I82" s="5" t="s">
        <v>786</v>
      </c>
      <c r="J82" s="5" t="s">
        <v>786</v>
      </c>
      <c r="K82" s="5">
        <v>1476</v>
      </c>
      <c r="L82" s="5">
        <v>393</v>
      </c>
      <c r="M82" s="6" t="s">
        <v>776</v>
      </c>
      <c r="N82" s="6">
        <v>0.16</v>
      </c>
      <c r="O82" s="8" t="s">
        <v>24</v>
      </c>
      <c r="P82" s="8" t="s">
        <v>41</v>
      </c>
      <c r="Q82" s="8" t="s">
        <v>780</v>
      </c>
      <c r="R82" s="8" t="s">
        <v>41</v>
      </c>
      <c r="S82" s="8">
        <v>2</v>
      </c>
      <c r="T82" s="8">
        <v>2</v>
      </c>
      <c r="U82" s="8">
        <v>388</v>
      </c>
      <c r="V82" s="8">
        <v>420</v>
      </c>
      <c r="W82" s="8">
        <f t="shared" si="4"/>
        <v>520</v>
      </c>
      <c r="X82" s="4" t="s">
        <v>767</v>
      </c>
      <c r="Y82" s="4" t="s">
        <v>767</v>
      </c>
      <c r="Z82" s="4" t="s">
        <v>768</v>
      </c>
      <c r="AA82" s="4">
        <v>5</v>
      </c>
      <c r="AB82" s="7">
        <v>32.5</v>
      </c>
      <c r="AC82" s="7">
        <f t="shared" si="5"/>
        <v>0.29268468403562647</v>
      </c>
      <c r="AD82" s="7">
        <v>111.041</v>
      </c>
      <c r="AE82" s="9">
        <v>46010</v>
      </c>
      <c r="AF82" s="9">
        <v>46010</v>
      </c>
      <c r="AG82" s="10">
        <v>0.64960648148148148</v>
      </c>
      <c r="AH82" s="4" t="s">
        <v>188</v>
      </c>
      <c r="AI82" s="4" t="s">
        <v>70</v>
      </c>
      <c r="AJ82" s="4" t="s">
        <v>71</v>
      </c>
      <c r="AK82" s="4" t="s">
        <v>72</v>
      </c>
      <c r="AL82" s="4" t="s">
        <v>73</v>
      </c>
      <c r="AM82" s="4" t="s">
        <v>74</v>
      </c>
      <c r="AN82" s="4" t="s">
        <v>75</v>
      </c>
      <c r="AO82" s="4" t="s">
        <v>76</v>
      </c>
      <c r="AP82" s="4" t="s">
        <v>77</v>
      </c>
      <c r="AQ82" s="4" t="s">
        <v>78</v>
      </c>
      <c r="AR82" s="4"/>
    </row>
    <row r="83" spans="1:44" x14ac:dyDescent="0.2">
      <c r="A83" s="8" t="s">
        <v>241</v>
      </c>
      <c r="B83" s="8" t="s">
        <v>242</v>
      </c>
      <c r="C83" s="8" t="s">
        <v>243</v>
      </c>
      <c r="D83" s="8" t="s">
        <v>244</v>
      </c>
      <c r="E83" s="8" t="s">
        <v>962</v>
      </c>
      <c r="F83" s="5">
        <v>472</v>
      </c>
      <c r="G83" s="5"/>
      <c r="H83" s="12"/>
      <c r="I83" s="5" t="s">
        <v>785</v>
      </c>
      <c r="J83" s="5" t="s">
        <v>786</v>
      </c>
      <c r="K83" s="5">
        <v>1476</v>
      </c>
      <c r="L83" s="5">
        <v>393</v>
      </c>
      <c r="M83" s="6" t="s">
        <v>776</v>
      </c>
      <c r="N83" s="6">
        <v>0.13400000000000001</v>
      </c>
      <c r="O83" s="8" t="s">
        <v>24</v>
      </c>
      <c r="P83" s="8" t="s">
        <v>41</v>
      </c>
      <c r="Q83" s="8" t="s">
        <v>780</v>
      </c>
      <c r="R83" s="8" t="s">
        <v>41</v>
      </c>
      <c r="S83" s="8">
        <v>2</v>
      </c>
      <c r="T83" s="8">
        <v>2</v>
      </c>
      <c r="U83" s="8">
        <v>421</v>
      </c>
      <c r="V83" s="8">
        <v>451</v>
      </c>
      <c r="W83" s="8">
        <f t="shared" si="4"/>
        <v>551</v>
      </c>
      <c r="X83" s="4" t="s">
        <v>767</v>
      </c>
      <c r="Y83" s="4" t="s">
        <v>767</v>
      </c>
      <c r="Z83" s="4" t="s">
        <v>768</v>
      </c>
      <c r="AA83" s="4">
        <v>5</v>
      </c>
      <c r="AB83" s="7">
        <v>32.5</v>
      </c>
      <c r="AC83" s="7">
        <f t="shared" si="5"/>
        <v>0.29268468403562647</v>
      </c>
      <c r="AD83" s="7">
        <v>111.041</v>
      </c>
      <c r="AE83" s="9">
        <v>46010</v>
      </c>
      <c r="AF83" s="9">
        <v>46010</v>
      </c>
      <c r="AG83" s="10">
        <v>0.64984953703703707</v>
      </c>
      <c r="AH83" s="4" t="s">
        <v>188</v>
      </c>
      <c r="AI83" s="4" t="s">
        <v>70</v>
      </c>
      <c r="AJ83" s="4" t="s">
        <v>71</v>
      </c>
      <c r="AK83" s="4" t="s">
        <v>72</v>
      </c>
      <c r="AL83" s="4" t="s">
        <v>73</v>
      </c>
      <c r="AM83" s="4" t="s">
        <v>74</v>
      </c>
      <c r="AN83" s="4" t="s">
        <v>75</v>
      </c>
      <c r="AO83" s="4" t="s">
        <v>76</v>
      </c>
      <c r="AP83" s="4" t="s">
        <v>77</v>
      </c>
      <c r="AQ83" s="4" t="s">
        <v>78</v>
      </c>
      <c r="AR83" s="4"/>
    </row>
    <row r="84" spans="1:44" x14ac:dyDescent="0.2">
      <c r="A84" s="8" t="s">
        <v>245</v>
      </c>
      <c r="B84" s="8" t="s">
        <v>246</v>
      </c>
      <c r="C84" s="8" t="s">
        <v>247</v>
      </c>
      <c r="D84" s="8" t="s">
        <v>248</v>
      </c>
      <c r="E84" s="8" t="s">
        <v>962</v>
      </c>
      <c r="F84" s="5">
        <v>460</v>
      </c>
      <c r="G84" s="5"/>
      <c r="H84" s="12"/>
      <c r="I84" s="5" t="s">
        <v>785</v>
      </c>
      <c r="J84" s="5" t="s">
        <v>785</v>
      </c>
      <c r="K84" s="5">
        <v>1476</v>
      </c>
      <c r="L84" s="5">
        <v>393</v>
      </c>
      <c r="M84" s="6" t="s">
        <v>776</v>
      </c>
      <c r="N84" s="6">
        <v>0.14799999999999999</v>
      </c>
      <c r="O84" s="8" t="s">
        <v>24</v>
      </c>
      <c r="P84" s="8" t="s">
        <v>41</v>
      </c>
      <c r="Q84" s="8" t="s">
        <v>780</v>
      </c>
      <c r="R84" s="8" t="s">
        <v>41</v>
      </c>
      <c r="S84" s="8">
        <v>2</v>
      </c>
      <c r="T84" s="8">
        <v>2</v>
      </c>
      <c r="U84" s="8">
        <v>234</v>
      </c>
      <c r="V84" s="8">
        <v>433</v>
      </c>
      <c r="W84" s="8">
        <f t="shared" si="4"/>
        <v>533</v>
      </c>
      <c r="X84" s="4" t="s">
        <v>767</v>
      </c>
      <c r="Y84" s="4" t="s">
        <v>767</v>
      </c>
      <c r="Z84" s="4" t="s">
        <v>768</v>
      </c>
      <c r="AA84" s="4">
        <v>5</v>
      </c>
      <c r="AB84" s="7">
        <v>32.5</v>
      </c>
      <c r="AC84" s="7">
        <f t="shared" si="5"/>
        <v>0.29268468403562647</v>
      </c>
      <c r="AD84" s="7">
        <v>111.041</v>
      </c>
      <c r="AE84" s="9">
        <v>46010</v>
      </c>
      <c r="AF84" s="9">
        <v>46010</v>
      </c>
      <c r="AG84" s="10">
        <v>0.64996527777777779</v>
      </c>
      <c r="AH84" s="4" t="s">
        <v>188</v>
      </c>
      <c r="AI84" s="4" t="s">
        <v>70</v>
      </c>
      <c r="AJ84" s="4" t="s">
        <v>71</v>
      </c>
      <c r="AK84" s="4" t="s">
        <v>72</v>
      </c>
      <c r="AL84" s="4" t="s">
        <v>73</v>
      </c>
      <c r="AM84" s="4" t="s">
        <v>74</v>
      </c>
      <c r="AN84" s="4" t="s">
        <v>75</v>
      </c>
      <c r="AO84" s="4" t="s">
        <v>76</v>
      </c>
      <c r="AP84" s="4" t="s">
        <v>77</v>
      </c>
      <c r="AQ84" s="4" t="s">
        <v>78</v>
      </c>
      <c r="AR84" s="4"/>
    </row>
    <row r="85" spans="1:44" x14ac:dyDescent="0.2">
      <c r="A85" s="8" t="s">
        <v>249</v>
      </c>
      <c r="B85" s="8" t="s">
        <v>250</v>
      </c>
      <c r="C85" s="8" t="s">
        <v>251</v>
      </c>
      <c r="D85" s="8" t="s">
        <v>252</v>
      </c>
      <c r="E85" s="8" t="s">
        <v>962</v>
      </c>
      <c r="F85" s="5">
        <v>493</v>
      </c>
      <c r="G85" s="5"/>
      <c r="H85" s="12"/>
      <c r="I85" s="5" t="s">
        <v>785</v>
      </c>
      <c r="J85" s="5" t="s">
        <v>785</v>
      </c>
      <c r="K85" s="5">
        <v>1476</v>
      </c>
      <c r="L85" s="5">
        <v>393</v>
      </c>
      <c r="M85" s="6" t="s">
        <v>776</v>
      </c>
      <c r="N85" s="6">
        <v>0.17699999999999999</v>
      </c>
      <c r="O85" s="8" t="s">
        <v>24</v>
      </c>
      <c r="P85" s="8" t="s">
        <v>41</v>
      </c>
      <c r="Q85" s="8" t="s">
        <v>780</v>
      </c>
      <c r="R85" s="8" t="s">
        <v>41</v>
      </c>
      <c r="S85" s="8">
        <v>2</v>
      </c>
      <c r="T85" s="8">
        <v>2</v>
      </c>
      <c r="U85" s="8">
        <v>168</v>
      </c>
      <c r="V85" s="8">
        <v>484</v>
      </c>
      <c r="W85" s="8">
        <f t="shared" si="4"/>
        <v>584</v>
      </c>
      <c r="X85" s="4" t="s">
        <v>767</v>
      </c>
      <c r="Y85" s="4" t="s">
        <v>767</v>
      </c>
      <c r="Z85" s="4" t="s">
        <v>768</v>
      </c>
      <c r="AA85" s="4">
        <v>5</v>
      </c>
      <c r="AB85" s="7">
        <v>32.5</v>
      </c>
      <c r="AC85" s="7">
        <f t="shared" si="5"/>
        <v>0.29268468403562647</v>
      </c>
      <c r="AD85" s="7">
        <v>111.041</v>
      </c>
      <c r="AE85" s="9">
        <v>46010</v>
      </c>
      <c r="AF85" s="9">
        <v>46010</v>
      </c>
      <c r="AG85" s="10">
        <v>0.65052083333333333</v>
      </c>
      <c r="AH85" s="4" t="s">
        <v>188</v>
      </c>
      <c r="AI85" s="4" t="s">
        <v>70</v>
      </c>
      <c r="AJ85" s="4" t="s">
        <v>71</v>
      </c>
      <c r="AK85" s="4" t="s">
        <v>72</v>
      </c>
      <c r="AL85" s="4" t="s">
        <v>73</v>
      </c>
      <c r="AM85" s="4" t="s">
        <v>74</v>
      </c>
      <c r="AN85" s="4" t="s">
        <v>75</v>
      </c>
      <c r="AO85" s="4" t="s">
        <v>76</v>
      </c>
      <c r="AP85" s="4" t="s">
        <v>77</v>
      </c>
      <c r="AQ85" s="4" t="s">
        <v>78</v>
      </c>
      <c r="AR85" s="4"/>
    </row>
    <row r="86" spans="1:44" x14ac:dyDescent="0.2">
      <c r="A86" s="8" t="s">
        <v>281</v>
      </c>
      <c r="B86" s="8" t="s">
        <v>282</v>
      </c>
      <c r="C86" s="8" t="s">
        <v>283</v>
      </c>
      <c r="D86" s="8" t="s">
        <v>284</v>
      </c>
      <c r="E86" s="8" t="s">
        <v>962</v>
      </c>
      <c r="F86" s="5">
        <v>568</v>
      </c>
      <c r="G86" s="5"/>
      <c r="H86" s="12"/>
      <c r="I86" s="5" t="s">
        <v>785</v>
      </c>
      <c r="J86" s="5" t="s">
        <v>785</v>
      </c>
      <c r="K86" s="5">
        <v>1476</v>
      </c>
      <c r="L86" s="5">
        <v>393</v>
      </c>
      <c r="M86" s="6" t="s">
        <v>776</v>
      </c>
      <c r="N86" s="6">
        <v>0.16300000000000001</v>
      </c>
      <c r="O86" s="8" t="s">
        <v>24</v>
      </c>
      <c r="P86" s="8" t="s">
        <v>41</v>
      </c>
      <c r="Q86" s="8" t="s">
        <v>780</v>
      </c>
      <c r="R86" s="8" t="s">
        <v>41</v>
      </c>
      <c r="S86" s="8">
        <v>2</v>
      </c>
      <c r="T86" s="8">
        <v>2</v>
      </c>
      <c r="U86" s="8">
        <v>460</v>
      </c>
      <c r="V86" s="8">
        <v>548</v>
      </c>
      <c r="W86" s="8">
        <f t="shared" si="4"/>
        <v>648</v>
      </c>
      <c r="X86" s="4" t="s">
        <v>767</v>
      </c>
      <c r="Y86" s="4" t="s">
        <v>767</v>
      </c>
      <c r="Z86" s="4" t="s">
        <v>768</v>
      </c>
      <c r="AA86" s="4">
        <v>5</v>
      </c>
      <c r="AB86" s="7">
        <v>32.5</v>
      </c>
      <c r="AC86" s="7">
        <f t="shared" si="5"/>
        <v>0.29268468403562647</v>
      </c>
      <c r="AD86" s="7">
        <v>111.041</v>
      </c>
      <c r="AE86" s="9">
        <v>46010</v>
      </c>
      <c r="AF86" s="9">
        <v>46010</v>
      </c>
      <c r="AG86" s="10">
        <v>0.65108796296296301</v>
      </c>
      <c r="AH86" s="4" t="s">
        <v>188</v>
      </c>
      <c r="AI86" s="4" t="s">
        <v>70</v>
      </c>
      <c r="AJ86" s="4" t="s">
        <v>71</v>
      </c>
      <c r="AK86" s="4" t="s">
        <v>72</v>
      </c>
      <c r="AL86" s="4" t="s">
        <v>73</v>
      </c>
      <c r="AM86" s="4" t="s">
        <v>74</v>
      </c>
      <c r="AN86" s="4" t="s">
        <v>75</v>
      </c>
      <c r="AO86" s="4" t="s">
        <v>76</v>
      </c>
      <c r="AP86" s="4" t="s">
        <v>77</v>
      </c>
      <c r="AQ86" s="4" t="s">
        <v>78</v>
      </c>
      <c r="AR86" s="4"/>
    </row>
    <row r="87" spans="1:44" x14ac:dyDescent="0.2">
      <c r="A87" s="8" t="s">
        <v>285</v>
      </c>
      <c r="B87" s="8" t="s">
        <v>286</v>
      </c>
      <c r="C87" s="8" t="s">
        <v>287</v>
      </c>
      <c r="D87" s="8" t="s">
        <v>288</v>
      </c>
      <c r="E87" s="8" t="s">
        <v>962</v>
      </c>
      <c r="F87" s="14"/>
      <c r="G87" s="14"/>
      <c r="H87" s="15" t="s">
        <v>968</v>
      </c>
      <c r="I87" s="5" t="s">
        <v>785</v>
      </c>
      <c r="J87" s="5" t="s">
        <v>785</v>
      </c>
      <c r="K87" s="5">
        <v>1476</v>
      </c>
      <c r="L87" s="5">
        <v>393</v>
      </c>
      <c r="M87" s="6" t="s">
        <v>776</v>
      </c>
      <c r="N87" s="6">
        <v>0.27</v>
      </c>
      <c r="O87" s="8" t="s">
        <v>24</v>
      </c>
      <c r="P87" s="8" t="s">
        <v>41</v>
      </c>
      <c r="Q87" s="8" t="s">
        <v>780</v>
      </c>
      <c r="R87" s="8" t="s">
        <v>41</v>
      </c>
      <c r="S87" s="8">
        <v>2</v>
      </c>
      <c r="T87" s="8">
        <v>2</v>
      </c>
      <c r="U87" s="8">
        <v>544</v>
      </c>
      <c r="V87" s="8">
        <v>585</v>
      </c>
      <c r="W87" s="8">
        <f t="shared" si="4"/>
        <v>685</v>
      </c>
      <c r="X87" s="4" t="s">
        <v>767</v>
      </c>
      <c r="Y87" s="4" t="s">
        <v>767</v>
      </c>
      <c r="Z87" s="4" t="s">
        <v>768</v>
      </c>
      <c r="AA87" s="4">
        <v>5</v>
      </c>
      <c r="AB87" s="7">
        <v>32.5</v>
      </c>
      <c r="AC87" s="7">
        <f t="shared" si="5"/>
        <v>0.29268468403562647</v>
      </c>
      <c r="AD87" s="7">
        <v>111.041</v>
      </c>
      <c r="AE87" s="9">
        <v>46010</v>
      </c>
      <c r="AF87" s="9">
        <v>46010</v>
      </c>
      <c r="AG87" s="10">
        <v>0.65248842592592593</v>
      </c>
      <c r="AH87" s="4" t="s">
        <v>188</v>
      </c>
      <c r="AI87" s="4" t="s">
        <v>70</v>
      </c>
      <c r="AJ87" s="4" t="s">
        <v>71</v>
      </c>
      <c r="AK87" s="4" t="s">
        <v>72</v>
      </c>
      <c r="AL87" s="4" t="s">
        <v>73</v>
      </c>
      <c r="AM87" s="4" t="s">
        <v>74</v>
      </c>
      <c r="AN87" s="4" t="s">
        <v>75</v>
      </c>
      <c r="AO87" s="4" t="s">
        <v>76</v>
      </c>
      <c r="AP87" s="4" t="s">
        <v>77</v>
      </c>
      <c r="AQ87" s="4" t="s">
        <v>78</v>
      </c>
      <c r="AR87" s="4"/>
    </row>
    <row r="88" spans="1:44" x14ac:dyDescent="0.2">
      <c r="A88" s="8" t="s">
        <v>325</v>
      </c>
      <c r="B88" s="8" t="s">
        <v>326</v>
      </c>
      <c r="C88" s="8" t="s">
        <v>327</v>
      </c>
      <c r="D88" s="8" t="s">
        <v>328</v>
      </c>
      <c r="E88" s="8" t="s">
        <v>962</v>
      </c>
      <c r="F88" s="5">
        <v>486</v>
      </c>
      <c r="G88" s="5"/>
      <c r="H88" s="12"/>
      <c r="I88" s="5" t="s">
        <v>785</v>
      </c>
      <c r="J88" s="5" t="s">
        <v>786</v>
      </c>
      <c r="K88" s="5">
        <v>1476</v>
      </c>
      <c r="L88" s="5">
        <v>393</v>
      </c>
      <c r="M88" s="6" t="s">
        <v>776</v>
      </c>
      <c r="N88" s="6">
        <v>8.6999999999999994E-2</v>
      </c>
      <c r="O88" s="8" t="s">
        <v>24</v>
      </c>
      <c r="P88" s="8" t="s">
        <v>41</v>
      </c>
      <c r="Q88" s="8" t="s">
        <v>780</v>
      </c>
      <c r="R88" s="8" t="s">
        <v>41</v>
      </c>
      <c r="S88" s="8">
        <v>2</v>
      </c>
      <c r="T88" s="8">
        <v>2</v>
      </c>
      <c r="U88" s="8">
        <v>444</v>
      </c>
      <c r="V88" s="8">
        <v>472</v>
      </c>
      <c r="W88" s="8">
        <f t="shared" si="4"/>
        <v>572</v>
      </c>
      <c r="X88" s="4" t="s">
        <v>767</v>
      </c>
      <c r="Y88" s="4" t="s">
        <v>767</v>
      </c>
      <c r="Z88" s="4" t="s">
        <v>768</v>
      </c>
      <c r="AA88" s="4">
        <v>5</v>
      </c>
      <c r="AB88" s="7">
        <v>32.5</v>
      </c>
      <c r="AC88" s="7">
        <f t="shared" si="5"/>
        <v>0.29268468403562647</v>
      </c>
      <c r="AD88" s="7">
        <v>111.041</v>
      </c>
      <c r="AE88" s="9">
        <v>46010</v>
      </c>
      <c r="AF88" s="9">
        <v>46010</v>
      </c>
      <c r="AG88" s="10">
        <v>0.65260416666666665</v>
      </c>
      <c r="AH88" s="4" t="s">
        <v>188</v>
      </c>
      <c r="AI88" s="4" t="s">
        <v>70</v>
      </c>
      <c r="AJ88" s="4" t="s">
        <v>71</v>
      </c>
      <c r="AK88" s="4" t="s">
        <v>72</v>
      </c>
      <c r="AL88" s="4" t="s">
        <v>73</v>
      </c>
      <c r="AM88" s="4" t="s">
        <v>74</v>
      </c>
      <c r="AN88" s="4" t="s">
        <v>75</v>
      </c>
      <c r="AO88" s="4" t="s">
        <v>76</v>
      </c>
      <c r="AP88" s="4" t="s">
        <v>77</v>
      </c>
      <c r="AQ88" s="4" t="s">
        <v>78</v>
      </c>
      <c r="AR88" s="4"/>
    </row>
    <row r="89" spans="1:44" x14ac:dyDescent="0.2">
      <c r="A89" s="8" t="s">
        <v>329</v>
      </c>
      <c r="B89" s="8" t="s">
        <v>330</v>
      </c>
      <c r="C89" s="8" t="s">
        <v>331</v>
      </c>
      <c r="D89" s="8" t="s">
        <v>332</v>
      </c>
      <c r="E89" s="8" t="s">
        <v>962</v>
      </c>
      <c r="F89" s="14"/>
      <c r="G89" s="14"/>
      <c r="H89" s="15" t="s">
        <v>968</v>
      </c>
      <c r="I89" s="5" t="s">
        <v>785</v>
      </c>
      <c r="J89" s="5" t="s">
        <v>785</v>
      </c>
      <c r="K89" s="5">
        <v>1476</v>
      </c>
      <c r="L89" s="5">
        <v>393</v>
      </c>
      <c r="M89" s="6" t="s">
        <v>776</v>
      </c>
      <c r="N89" s="6">
        <v>1.9E-2</v>
      </c>
      <c r="O89" s="8" t="s">
        <v>24</v>
      </c>
      <c r="P89" s="8" t="s">
        <v>41</v>
      </c>
      <c r="Q89" s="8" t="s">
        <v>780</v>
      </c>
      <c r="R89" s="8" t="s">
        <v>41</v>
      </c>
      <c r="S89" s="8">
        <v>2</v>
      </c>
      <c r="T89" s="8">
        <v>2</v>
      </c>
      <c r="U89" s="8">
        <v>529</v>
      </c>
      <c r="V89" s="8">
        <v>566</v>
      </c>
      <c r="W89" s="8">
        <f t="shared" si="4"/>
        <v>666</v>
      </c>
      <c r="X89" s="4" t="s">
        <v>767</v>
      </c>
      <c r="Y89" s="4" t="s">
        <v>767</v>
      </c>
      <c r="Z89" s="4" t="s">
        <v>768</v>
      </c>
      <c r="AA89" s="4">
        <v>5</v>
      </c>
      <c r="AB89" s="7">
        <v>32.5</v>
      </c>
      <c r="AC89" s="7">
        <f t="shared" si="5"/>
        <v>0.29268468403562647</v>
      </c>
      <c r="AD89" s="7">
        <v>111.041</v>
      </c>
      <c r="AE89" s="9">
        <v>46010</v>
      </c>
      <c r="AF89" s="9">
        <v>46010</v>
      </c>
      <c r="AG89" s="10">
        <v>0.65310185185185188</v>
      </c>
      <c r="AH89" s="4" t="s">
        <v>188</v>
      </c>
      <c r="AI89" s="4" t="s">
        <v>70</v>
      </c>
      <c r="AJ89" s="4" t="s">
        <v>71</v>
      </c>
      <c r="AK89" s="4" t="s">
        <v>72</v>
      </c>
      <c r="AL89" s="4" t="s">
        <v>73</v>
      </c>
      <c r="AM89" s="4" t="s">
        <v>74</v>
      </c>
      <c r="AN89" s="4" t="s">
        <v>75</v>
      </c>
      <c r="AO89" s="4" t="s">
        <v>76</v>
      </c>
      <c r="AP89" s="4" t="s">
        <v>77</v>
      </c>
      <c r="AQ89" s="4" t="s">
        <v>78</v>
      </c>
      <c r="AR89" s="4"/>
    </row>
    <row r="90" spans="1:44" x14ac:dyDescent="0.2">
      <c r="A90" s="8" t="s">
        <v>333</v>
      </c>
      <c r="B90" s="8" t="s">
        <v>334</v>
      </c>
      <c r="C90" s="8" t="s">
        <v>335</v>
      </c>
      <c r="D90" s="8" t="s">
        <v>336</v>
      </c>
      <c r="E90" s="8" t="s">
        <v>962</v>
      </c>
      <c r="F90" s="14"/>
      <c r="G90" s="14"/>
      <c r="H90" s="15" t="s">
        <v>968</v>
      </c>
      <c r="I90" s="5" t="s">
        <v>785</v>
      </c>
      <c r="J90" s="5" t="s">
        <v>785</v>
      </c>
      <c r="K90" s="5">
        <v>1476</v>
      </c>
      <c r="L90" s="5">
        <v>393</v>
      </c>
      <c r="M90" s="6" t="s">
        <v>776</v>
      </c>
      <c r="N90" s="6">
        <v>6.7000000000000004E-2</v>
      </c>
      <c r="O90" s="8" t="s">
        <v>24</v>
      </c>
      <c r="P90" s="8" t="s">
        <v>41</v>
      </c>
      <c r="Q90" s="8" t="s">
        <v>780</v>
      </c>
      <c r="R90" s="8" t="s">
        <v>41</v>
      </c>
      <c r="S90" s="8">
        <v>2</v>
      </c>
      <c r="T90" s="8">
        <v>2</v>
      </c>
      <c r="U90" s="8">
        <v>681</v>
      </c>
      <c r="V90" s="8">
        <v>705</v>
      </c>
      <c r="W90" s="8">
        <f t="shared" si="4"/>
        <v>805</v>
      </c>
      <c r="X90" s="4" t="s">
        <v>767</v>
      </c>
      <c r="Y90" s="4" t="s">
        <v>767</v>
      </c>
      <c r="Z90" s="4" t="s">
        <v>768</v>
      </c>
      <c r="AA90" s="4">
        <v>5</v>
      </c>
      <c r="AB90" s="7">
        <v>32.5</v>
      </c>
      <c r="AC90" s="7">
        <f t="shared" si="5"/>
        <v>0.29268468403562647</v>
      </c>
      <c r="AD90" s="7">
        <v>111.041</v>
      </c>
      <c r="AE90" s="9">
        <v>46010</v>
      </c>
      <c r="AF90" s="9">
        <v>46010</v>
      </c>
      <c r="AG90" s="10">
        <v>0.65408564814814818</v>
      </c>
      <c r="AH90" s="4" t="s">
        <v>188</v>
      </c>
      <c r="AI90" s="4" t="s">
        <v>70</v>
      </c>
      <c r="AJ90" s="4" t="s">
        <v>71</v>
      </c>
      <c r="AK90" s="4" t="s">
        <v>72</v>
      </c>
      <c r="AL90" s="4" t="s">
        <v>73</v>
      </c>
      <c r="AM90" s="4" t="s">
        <v>74</v>
      </c>
      <c r="AN90" s="4" t="s">
        <v>75</v>
      </c>
      <c r="AO90" s="4" t="s">
        <v>76</v>
      </c>
      <c r="AP90" s="4" t="s">
        <v>77</v>
      </c>
      <c r="AQ90" s="4" t="s">
        <v>78</v>
      </c>
      <c r="AR90" s="4"/>
    </row>
    <row r="91" spans="1:44" x14ac:dyDescent="0.2">
      <c r="A91" s="8" t="s">
        <v>253</v>
      </c>
      <c r="B91" s="8" t="s">
        <v>254</v>
      </c>
      <c r="C91" s="8" t="s">
        <v>255</v>
      </c>
      <c r="D91" s="8" t="s">
        <v>256</v>
      </c>
      <c r="E91" s="8" t="s">
        <v>962</v>
      </c>
      <c r="F91" s="5">
        <v>760</v>
      </c>
      <c r="G91" s="5"/>
      <c r="H91" s="12"/>
      <c r="I91" s="5" t="s">
        <v>785</v>
      </c>
      <c r="J91" s="5" t="s">
        <v>785</v>
      </c>
      <c r="K91" s="5">
        <v>1484</v>
      </c>
      <c r="L91" s="5">
        <v>389</v>
      </c>
      <c r="M91" s="6" t="s">
        <v>776</v>
      </c>
      <c r="N91" s="6">
        <v>0.14099999999999999</v>
      </c>
      <c r="O91" s="8" t="s">
        <v>24</v>
      </c>
      <c r="P91" s="8" t="s">
        <v>25</v>
      </c>
      <c r="Q91" s="8" t="s">
        <v>779</v>
      </c>
      <c r="R91" s="8" t="s">
        <v>25</v>
      </c>
      <c r="S91" s="8">
        <v>3</v>
      </c>
      <c r="T91" s="8">
        <v>3</v>
      </c>
      <c r="U91" s="8">
        <v>112</v>
      </c>
      <c r="V91" s="8">
        <v>307</v>
      </c>
      <c r="W91" s="8">
        <f t="shared" si="4"/>
        <v>407</v>
      </c>
      <c r="X91" s="4" t="s">
        <v>767</v>
      </c>
      <c r="Y91" s="4" t="s">
        <v>767</v>
      </c>
      <c r="Z91" s="4" t="s">
        <v>768</v>
      </c>
      <c r="AA91" s="4">
        <v>5</v>
      </c>
      <c r="AB91" s="7">
        <v>32.5</v>
      </c>
      <c r="AC91" s="7">
        <f t="shared" si="5"/>
        <v>0.29268468403562647</v>
      </c>
      <c r="AD91" s="7">
        <v>111.041</v>
      </c>
      <c r="AE91" s="9">
        <v>46010</v>
      </c>
      <c r="AF91" s="9">
        <v>46010</v>
      </c>
      <c r="AG91" s="10">
        <v>0.61370370370370375</v>
      </c>
      <c r="AH91" s="4" t="s">
        <v>188</v>
      </c>
      <c r="AI91" s="4" t="s">
        <v>70</v>
      </c>
      <c r="AJ91" s="4" t="s">
        <v>71</v>
      </c>
      <c r="AK91" s="4" t="s">
        <v>72</v>
      </c>
      <c r="AL91" s="4" t="s">
        <v>73</v>
      </c>
      <c r="AM91" s="4" t="s">
        <v>74</v>
      </c>
      <c r="AN91" s="4" t="s">
        <v>75</v>
      </c>
      <c r="AO91" s="4" t="s">
        <v>76</v>
      </c>
      <c r="AP91" s="4" t="s">
        <v>77</v>
      </c>
      <c r="AQ91" s="4" t="s">
        <v>78</v>
      </c>
      <c r="AR91" s="4"/>
    </row>
    <row r="92" spans="1:44" x14ac:dyDescent="0.2">
      <c r="A92" s="8" t="s">
        <v>257</v>
      </c>
      <c r="B92" s="8" t="s">
        <v>258</v>
      </c>
      <c r="C92" s="8" t="s">
        <v>259</v>
      </c>
      <c r="D92" s="8" t="s">
        <v>260</v>
      </c>
      <c r="E92" s="8" t="s">
        <v>962</v>
      </c>
      <c r="F92" s="5">
        <v>805</v>
      </c>
      <c r="G92" s="5"/>
      <c r="H92" s="12"/>
      <c r="I92" s="5" t="s">
        <v>785</v>
      </c>
      <c r="J92" s="5" t="s">
        <v>785</v>
      </c>
      <c r="K92" s="5">
        <v>1484</v>
      </c>
      <c r="L92" s="5">
        <v>389</v>
      </c>
      <c r="M92" s="6" t="s">
        <v>776</v>
      </c>
      <c r="N92" s="6">
        <v>3.0000000000000001E-3</v>
      </c>
      <c r="O92" s="8" t="s">
        <v>24</v>
      </c>
      <c r="P92" s="8" t="s">
        <v>25</v>
      </c>
      <c r="Q92" s="8" t="s">
        <v>779</v>
      </c>
      <c r="R92" s="8" t="s">
        <v>25</v>
      </c>
      <c r="S92" s="8">
        <v>3</v>
      </c>
      <c r="T92" s="8">
        <v>3</v>
      </c>
      <c r="U92" s="8">
        <v>679</v>
      </c>
      <c r="V92" s="8">
        <v>777</v>
      </c>
      <c r="W92" s="8">
        <f t="shared" si="4"/>
        <v>877</v>
      </c>
      <c r="X92" s="4" t="s">
        <v>767</v>
      </c>
      <c r="Y92" s="4" t="s">
        <v>767</v>
      </c>
      <c r="Z92" s="4" t="s">
        <v>768</v>
      </c>
      <c r="AA92" s="4">
        <v>5</v>
      </c>
      <c r="AB92" s="7">
        <v>32.5</v>
      </c>
      <c r="AC92" s="7">
        <f t="shared" si="5"/>
        <v>0.29268468403562647</v>
      </c>
      <c r="AD92" s="7">
        <v>111.041</v>
      </c>
      <c r="AE92" s="9">
        <v>46010</v>
      </c>
      <c r="AF92" s="9">
        <v>46010</v>
      </c>
      <c r="AG92" s="10">
        <v>0.61393518518518519</v>
      </c>
      <c r="AH92" s="4" t="s">
        <v>188</v>
      </c>
      <c r="AI92" s="4" t="s">
        <v>70</v>
      </c>
      <c r="AJ92" s="4" t="s">
        <v>71</v>
      </c>
      <c r="AK92" s="4" t="s">
        <v>72</v>
      </c>
      <c r="AL92" s="4" t="s">
        <v>73</v>
      </c>
      <c r="AM92" s="4" t="s">
        <v>74</v>
      </c>
      <c r="AN92" s="4" t="s">
        <v>75</v>
      </c>
      <c r="AO92" s="4" t="s">
        <v>76</v>
      </c>
      <c r="AP92" s="4" t="s">
        <v>77</v>
      </c>
      <c r="AQ92" s="4" t="s">
        <v>78</v>
      </c>
      <c r="AR92" s="4"/>
    </row>
    <row r="93" spans="1:44" x14ac:dyDescent="0.2">
      <c r="A93" s="8" t="s">
        <v>261</v>
      </c>
      <c r="B93" s="8" t="s">
        <v>262</v>
      </c>
      <c r="C93" s="8" t="s">
        <v>263</v>
      </c>
      <c r="D93" s="8" t="s">
        <v>264</v>
      </c>
      <c r="E93" s="8" t="s">
        <v>962</v>
      </c>
      <c r="F93" s="5">
        <v>525</v>
      </c>
      <c r="G93" s="5"/>
      <c r="H93" s="12"/>
      <c r="I93" s="5" t="s">
        <v>785</v>
      </c>
      <c r="J93" s="5" t="s">
        <v>786</v>
      </c>
      <c r="K93" s="5">
        <v>1484</v>
      </c>
      <c r="L93" s="5">
        <v>389</v>
      </c>
      <c r="M93" s="6" t="s">
        <v>776</v>
      </c>
      <c r="N93" s="6">
        <v>0.106</v>
      </c>
      <c r="O93" s="8" t="s">
        <v>24</v>
      </c>
      <c r="P93" s="8" t="s">
        <v>25</v>
      </c>
      <c r="Q93" s="8" t="s">
        <v>779</v>
      </c>
      <c r="R93" s="8" t="s">
        <v>25</v>
      </c>
      <c r="S93" s="8">
        <v>3</v>
      </c>
      <c r="T93" s="8">
        <v>3</v>
      </c>
      <c r="U93" s="8">
        <v>440</v>
      </c>
      <c r="V93" s="8">
        <v>504</v>
      </c>
      <c r="W93" s="8">
        <f t="shared" si="4"/>
        <v>604</v>
      </c>
      <c r="X93" s="4" t="s">
        <v>767</v>
      </c>
      <c r="Y93" s="4" t="s">
        <v>767</v>
      </c>
      <c r="Z93" s="4" t="s">
        <v>768</v>
      </c>
      <c r="AA93" s="4">
        <v>5</v>
      </c>
      <c r="AB93" s="7">
        <v>32.5</v>
      </c>
      <c r="AC93" s="7">
        <f t="shared" si="5"/>
        <v>0.29268468403562647</v>
      </c>
      <c r="AD93" s="7">
        <v>111.041</v>
      </c>
      <c r="AE93" s="9">
        <v>46010</v>
      </c>
      <c r="AF93" s="9">
        <v>46010</v>
      </c>
      <c r="AG93" s="10">
        <v>0.61435185185185182</v>
      </c>
      <c r="AH93" s="4" t="s">
        <v>188</v>
      </c>
      <c r="AI93" s="4" t="s">
        <v>70</v>
      </c>
      <c r="AJ93" s="4" t="s">
        <v>71</v>
      </c>
      <c r="AK93" s="4" t="s">
        <v>72</v>
      </c>
      <c r="AL93" s="4" t="s">
        <v>73</v>
      </c>
      <c r="AM93" s="4" t="s">
        <v>74</v>
      </c>
      <c r="AN93" s="4" t="s">
        <v>75</v>
      </c>
      <c r="AO93" s="4" t="s">
        <v>76</v>
      </c>
      <c r="AP93" s="4" t="s">
        <v>77</v>
      </c>
      <c r="AQ93" s="4" t="s">
        <v>78</v>
      </c>
      <c r="AR93" s="4"/>
    </row>
    <row r="94" spans="1:44" x14ac:dyDescent="0.2">
      <c r="A94" s="8" t="s">
        <v>265</v>
      </c>
      <c r="B94" s="8" t="s">
        <v>266</v>
      </c>
      <c r="C94" s="8" t="s">
        <v>267</v>
      </c>
      <c r="D94" s="8" t="s">
        <v>268</v>
      </c>
      <c r="E94" s="8" t="s">
        <v>962</v>
      </c>
      <c r="F94" s="5">
        <v>480</v>
      </c>
      <c r="G94" s="5"/>
      <c r="H94" s="12"/>
      <c r="I94" s="5" t="s">
        <v>785</v>
      </c>
      <c r="J94" s="5" t="s">
        <v>785</v>
      </c>
      <c r="K94" s="5">
        <v>1484</v>
      </c>
      <c r="L94" s="5">
        <v>389</v>
      </c>
      <c r="M94" s="6" t="s">
        <v>776</v>
      </c>
      <c r="N94" s="6">
        <v>0.13200000000000001</v>
      </c>
      <c r="O94" s="8" t="s">
        <v>24</v>
      </c>
      <c r="P94" s="8" t="s">
        <v>25</v>
      </c>
      <c r="Q94" s="8" t="s">
        <v>779</v>
      </c>
      <c r="R94" s="8" t="s">
        <v>25</v>
      </c>
      <c r="S94" s="8">
        <v>3</v>
      </c>
      <c r="T94" s="8">
        <v>3</v>
      </c>
      <c r="U94" s="8">
        <v>0</v>
      </c>
      <c r="V94" s="8">
        <v>449</v>
      </c>
      <c r="W94" s="8">
        <f t="shared" si="4"/>
        <v>549</v>
      </c>
      <c r="X94" s="4" t="s">
        <v>767</v>
      </c>
      <c r="Y94" s="4" t="s">
        <v>767</v>
      </c>
      <c r="Z94" s="4" t="s">
        <v>768</v>
      </c>
      <c r="AA94" s="4">
        <v>5</v>
      </c>
      <c r="AB94" s="7">
        <v>32.5</v>
      </c>
      <c r="AC94" s="7">
        <f t="shared" si="5"/>
        <v>0.29268468403562647</v>
      </c>
      <c r="AD94" s="7">
        <v>111.041</v>
      </c>
      <c r="AE94" s="9">
        <v>46010</v>
      </c>
      <c r="AF94" s="9">
        <v>46010</v>
      </c>
      <c r="AG94" s="10">
        <v>0.61619212962962966</v>
      </c>
      <c r="AH94" s="4" t="s">
        <v>188</v>
      </c>
      <c r="AI94" s="4" t="s">
        <v>70</v>
      </c>
      <c r="AJ94" s="4" t="s">
        <v>71</v>
      </c>
      <c r="AK94" s="4" t="s">
        <v>72</v>
      </c>
      <c r="AL94" s="4" t="s">
        <v>73</v>
      </c>
      <c r="AM94" s="4" t="s">
        <v>74</v>
      </c>
      <c r="AN94" s="4" t="s">
        <v>75</v>
      </c>
      <c r="AO94" s="4" t="s">
        <v>76</v>
      </c>
      <c r="AP94" s="4" t="s">
        <v>77</v>
      </c>
      <c r="AQ94" s="4" t="s">
        <v>78</v>
      </c>
      <c r="AR94" s="4"/>
    </row>
    <row r="95" spans="1:44" x14ac:dyDescent="0.2">
      <c r="A95" s="8" t="s">
        <v>269</v>
      </c>
      <c r="B95" s="8" t="s">
        <v>270</v>
      </c>
      <c r="C95" s="8" t="s">
        <v>271</v>
      </c>
      <c r="D95" s="8" t="s">
        <v>272</v>
      </c>
      <c r="E95" s="8" t="s">
        <v>962</v>
      </c>
      <c r="F95" s="14"/>
      <c r="G95" s="14"/>
      <c r="H95" s="15" t="s">
        <v>968</v>
      </c>
      <c r="I95" s="5" t="s">
        <v>785</v>
      </c>
      <c r="J95" s="5" t="s">
        <v>785</v>
      </c>
      <c r="K95" s="5">
        <v>1476</v>
      </c>
      <c r="L95" s="5">
        <v>393</v>
      </c>
      <c r="M95" s="6" t="s">
        <v>776</v>
      </c>
      <c r="N95" s="6">
        <v>0.24</v>
      </c>
      <c r="O95" s="8" t="s">
        <v>24</v>
      </c>
      <c r="P95" s="8" t="s">
        <v>25</v>
      </c>
      <c r="Q95" s="8" t="s">
        <v>779</v>
      </c>
      <c r="R95" s="8" t="s">
        <v>25</v>
      </c>
      <c r="S95" s="8">
        <v>4</v>
      </c>
      <c r="T95" s="8">
        <v>4</v>
      </c>
      <c r="U95" s="8">
        <v>508</v>
      </c>
      <c r="V95" s="8">
        <v>540</v>
      </c>
      <c r="W95" s="8">
        <f t="shared" si="4"/>
        <v>640</v>
      </c>
      <c r="X95" s="4" t="s">
        <v>766</v>
      </c>
      <c r="Y95" s="4"/>
      <c r="Z95" s="4" t="s">
        <v>768</v>
      </c>
      <c r="AA95" s="4">
        <v>5</v>
      </c>
      <c r="AB95" s="7">
        <v>32.5</v>
      </c>
      <c r="AC95" s="7">
        <f t="shared" si="5"/>
        <v>0.29268468403562647</v>
      </c>
      <c r="AD95" s="7">
        <v>111.041</v>
      </c>
      <c r="AE95" s="9">
        <v>46010</v>
      </c>
      <c r="AF95" s="9">
        <v>46010</v>
      </c>
      <c r="AG95" s="10">
        <v>0.62450231481481477</v>
      </c>
      <c r="AH95" s="4" t="s">
        <v>188</v>
      </c>
      <c r="AI95" s="4" t="s">
        <v>70</v>
      </c>
      <c r="AJ95" s="4" t="s">
        <v>71</v>
      </c>
      <c r="AK95" s="4" t="s">
        <v>72</v>
      </c>
      <c r="AL95" s="4" t="s">
        <v>73</v>
      </c>
      <c r="AM95" s="4" t="s">
        <v>74</v>
      </c>
      <c r="AN95" s="4" t="s">
        <v>75</v>
      </c>
      <c r="AO95" s="4" t="s">
        <v>76</v>
      </c>
      <c r="AP95" s="4" t="s">
        <v>77</v>
      </c>
      <c r="AQ95" s="4" t="s">
        <v>78</v>
      </c>
      <c r="AR95" s="4"/>
    </row>
    <row r="96" spans="1:44" x14ac:dyDescent="0.2">
      <c r="A96" s="8" t="s">
        <v>273</v>
      </c>
      <c r="B96" s="8" t="s">
        <v>274</v>
      </c>
      <c r="C96" s="8" t="s">
        <v>275</v>
      </c>
      <c r="D96" s="8" t="s">
        <v>276</v>
      </c>
      <c r="E96" s="8" t="s">
        <v>962</v>
      </c>
      <c r="F96" s="5">
        <v>652</v>
      </c>
      <c r="G96" s="5"/>
      <c r="H96" s="12"/>
      <c r="I96" s="5" t="s">
        <v>786</v>
      </c>
      <c r="J96" s="5" t="s">
        <v>786</v>
      </c>
      <c r="K96" s="5">
        <v>1476</v>
      </c>
      <c r="L96" s="5">
        <v>393</v>
      </c>
      <c r="M96" s="6" t="s">
        <v>776</v>
      </c>
      <c r="N96" s="6">
        <v>3.1E-2</v>
      </c>
      <c r="O96" s="8" t="s">
        <v>24</v>
      </c>
      <c r="P96" s="8" t="s">
        <v>25</v>
      </c>
      <c r="Q96" s="8" t="s">
        <v>779</v>
      </c>
      <c r="R96" s="8" t="s">
        <v>25</v>
      </c>
      <c r="S96" s="8">
        <v>4</v>
      </c>
      <c r="T96" s="8">
        <v>4</v>
      </c>
      <c r="U96" s="8">
        <v>144</v>
      </c>
      <c r="V96" s="8">
        <v>182</v>
      </c>
      <c r="W96" s="8">
        <f t="shared" si="4"/>
        <v>282</v>
      </c>
      <c r="X96" s="4" t="s">
        <v>766</v>
      </c>
      <c r="Y96" s="4" t="s">
        <v>767</v>
      </c>
      <c r="Z96" s="4" t="s">
        <v>768</v>
      </c>
      <c r="AA96" s="4">
        <v>5</v>
      </c>
      <c r="AB96" s="7">
        <v>32.5</v>
      </c>
      <c r="AC96" s="7">
        <f t="shared" si="5"/>
        <v>0.29268468403562647</v>
      </c>
      <c r="AD96" s="7">
        <v>111.041</v>
      </c>
      <c r="AE96" s="9">
        <v>46010</v>
      </c>
      <c r="AF96" s="9">
        <v>46010</v>
      </c>
      <c r="AG96" s="10">
        <v>0.62494212962962958</v>
      </c>
      <c r="AH96" s="4" t="s">
        <v>188</v>
      </c>
      <c r="AI96" s="4" t="s">
        <v>70</v>
      </c>
      <c r="AJ96" s="4" t="s">
        <v>71</v>
      </c>
      <c r="AK96" s="4" t="s">
        <v>72</v>
      </c>
      <c r="AL96" s="4" t="s">
        <v>73</v>
      </c>
      <c r="AM96" s="4" t="s">
        <v>74</v>
      </c>
      <c r="AN96" s="4" t="s">
        <v>75</v>
      </c>
      <c r="AO96" s="4" t="s">
        <v>76</v>
      </c>
      <c r="AP96" s="4" t="s">
        <v>77</v>
      </c>
      <c r="AQ96" s="4" t="s">
        <v>78</v>
      </c>
      <c r="AR96" s="4"/>
    </row>
    <row r="97" spans="1:44" x14ac:dyDescent="0.2">
      <c r="A97" s="8" t="s">
        <v>277</v>
      </c>
      <c r="B97" s="8" t="s">
        <v>278</v>
      </c>
      <c r="C97" s="8" t="s">
        <v>279</v>
      </c>
      <c r="D97" s="8" t="s">
        <v>280</v>
      </c>
      <c r="E97" s="8" t="s">
        <v>962</v>
      </c>
      <c r="F97" s="5">
        <v>593</v>
      </c>
      <c r="G97" s="5"/>
      <c r="H97" s="12"/>
      <c r="I97" s="5" t="s">
        <v>785</v>
      </c>
      <c r="J97" s="5" t="s">
        <v>785</v>
      </c>
      <c r="K97" s="5">
        <v>1476</v>
      </c>
      <c r="L97" s="5">
        <v>393</v>
      </c>
      <c r="M97" s="6" t="s">
        <v>776</v>
      </c>
      <c r="N97" s="6">
        <v>0.35599999999999998</v>
      </c>
      <c r="O97" s="8" t="s">
        <v>24</v>
      </c>
      <c r="P97" s="8" t="s">
        <v>25</v>
      </c>
      <c r="Q97" s="8" t="s">
        <v>779</v>
      </c>
      <c r="R97" s="8" t="s">
        <v>25</v>
      </c>
      <c r="S97" s="8">
        <v>4</v>
      </c>
      <c r="T97" s="8">
        <v>4</v>
      </c>
      <c r="U97" s="8">
        <v>481</v>
      </c>
      <c r="V97" s="8">
        <v>541</v>
      </c>
      <c r="W97" s="8">
        <f t="shared" si="4"/>
        <v>641</v>
      </c>
      <c r="X97" s="4" t="s">
        <v>766</v>
      </c>
      <c r="Y97" s="4" t="s">
        <v>767</v>
      </c>
      <c r="Z97" s="4" t="s">
        <v>768</v>
      </c>
      <c r="AA97" s="4">
        <v>5</v>
      </c>
      <c r="AB97" s="7">
        <v>32.5</v>
      </c>
      <c r="AC97" s="7">
        <f t="shared" si="5"/>
        <v>0.29268468403562647</v>
      </c>
      <c r="AD97" s="7">
        <v>111.041</v>
      </c>
      <c r="AE97" s="9">
        <v>46010</v>
      </c>
      <c r="AF97" s="9">
        <v>46010</v>
      </c>
      <c r="AG97" s="10">
        <v>0.62510416666666668</v>
      </c>
      <c r="AH97" s="4" t="s">
        <v>188</v>
      </c>
      <c r="AI97" s="4" t="s">
        <v>70</v>
      </c>
      <c r="AJ97" s="4" t="s">
        <v>71</v>
      </c>
      <c r="AK97" s="4" t="s">
        <v>72</v>
      </c>
      <c r="AL97" s="4" t="s">
        <v>73</v>
      </c>
      <c r="AM97" s="4" t="s">
        <v>74</v>
      </c>
      <c r="AN97" s="4" t="s">
        <v>75</v>
      </c>
      <c r="AO97" s="4" t="s">
        <v>76</v>
      </c>
      <c r="AP97" s="4" t="s">
        <v>77</v>
      </c>
      <c r="AQ97" s="4" t="s">
        <v>78</v>
      </c>
      <c r="AR97" s="4"/>
    </row>
    <row r="98" spans="1:44" x14ac:dyDescent="0.2">
      <c r="A98" s="8" t="s">
        <v>209</v>
      </c>
      <c r="B98" s="8" t="s">
        <v>210</v>
      </c>
      <c r="C98" s="8" t="s">
        <v>211</v>
      </c>
      <c r="D98" s="8" t="s">
        <v>212</v>
      </c>
      <c r="E98" s="8" t="s">
        <v>962</v>
      </c>
      <c r="F98" s="5">
        <v>614</v>
      </c>
      <c r="G98" s="5"/>
      <c r="H98" s="12"/>
      <c r="I98" s="5" t="s">
        <v>786</v>
      </c>
      <c r="J98" s="5" t="s">
        <v>786</v>
      </c>
      <c r="K98" s="5">
        <v>1476</v>
      </c>
      <c r="L98" s="5">
        <v>393</v>
      </c>
      <c r="M98" s="6" t="s">
        <v>776</v>
      </c>
      <c r="N98" s="6">
        <v>0.14799999999999999</v>
      </c>
      <c r="O98" s="8" t="s">
        <v>24</v>
      </c>
      <c r="P98" s="8" t="s">
        <v>25</v>
      </c>
      <c r="Q98" s="8" t="s">
        <v>780</v>
      </c>
      <c r="R98" s="8" t="s">
        <v>25</v>
      </c>
      <c r="S98" s="8">
        <v>5</v>
      </c>
      <c r="T98" s="8">
        <v>5</v>
      </c>
      <c r="U98" s="8">
        <v>252</v>
      </c>
      <c r="V98" s="8">
        <v>334</v>
      </c>
      <c r="W98" s="8">
        <f t="shared" ref="W98:W129" si="6">V98+100</f>
        <v>434</v>
      </c>
      <c r="X98" s="4" t="s">
        <v>767</v>
      </c>
      <c r="Y98" s="4"/>
      <c r="Z98" s="4" t="s">
        <v>768</v>
      </c>
      <c r="AA98" s="4">
        <v>5</v>
      </c>
      <c r="AB98" s="7">
        <v>32.5</v>
      </c>
      <c r="AC98" s="7">
        <f t="shared" ref="AC98:AC129" si="7">AB98/AD98</f>
        <v>0.29268468403562647</v>
      </c>
      <c r="AD98" s="7">
        <v>111.041</v>
      </c>
      <c r="AE98" s="9">
        <v>46010</v>
      </c>
      <c r="AF98" s="9">
        <v>46010</v>
      </c>
      <c r="AG98" s="10">
        <v>0.63211805555555556</v>
      </c>
      <c r="AH98" s="4" t="s">
        <v>188</v>
      </c>
      <c r="AI98" s="4" t="s">
        <v>70</v>
      </c>
      <c r="AJ98" s="4" t="s">
        <v>71</v>
      </c>
      <c r="AK98" s="4" t="s">
        <v>72</v>
      </c>
      <c r="AL98" s="4" t="s">
        <v>73</v>
      </c>
      <c r="AM98" s="4" t="s">
        <v>74</v>
      </c>
      <c r="AN98" s="4" t="s">
        <v>75</v>
      </c>
      <c r="AO98" s="4" t="s">
        <v>76</v>
      </c>
      <c r="AP98" s="4" t="s">
        <v>77</v>
      </c>
      <c r="AQ98" s="4" t="s">
        <v>78</v>
      </c>
      <c r="AR98" s="4"/>
    </row>
    <row r="99" spans="1:44" x14ac:dyDescent="0.2">
      <c r="A99" s="8" t="s">
        <v>213</v>
      </c>
      <c r="B99" s="8" t="s">
        <v>214</v>
      </c>
      <c r="C99" s="8" t="s">
        <v>215</v>
      </c>
      <c r="D99" s="8" t="s">
        <v>216</v>
      </c>
      <c r="E99" s="8" t="s">
        <v>962</v>
      </c>
      <c r="F99" s="5">
        <v>773</v>
      </c>
      <c r="G99" s="5"/>
      <c r="H99" s="12"/>
      <c r="I99" s="5" t="s">
        <v>786</v>
      </c>
      <c r="J99" s="5" t="s">
        <v>786</v>
      </c>
      <c r="K99" s="5">
        <v>1476</v>
      </c>
      <c r="L99" s="5">
        <v>393</v>
      </c>
      <c r="M99" s="6" t="s">
        <v>776</v>
      </c>
      <c r="N99" s="6"/>
      <c r="O99" s="8" t="s">
        <v>24</v>
      </c>
      <c r="P99" s="8" t="s">
        <v>25</v>
      </c>
      <c r="Q99" s="8" t="s">
        <v>780</v>
      </c>
      <c r="R99" s="8" t="s">
        <v>25</v>
      </c>
      <c r="S99" s="8">
        <v>5</v>
      </c>
      <c r="T99" s="8">
        <v>5</v>
      </c>
      <c r="U99" s="8">
        <v>648</v>
      </c>
      <c r="V99" s="8">
        <v>750</v>
      </c>
      <c r="W99" s="8">
        <f t="shared" si="6"/>
        <v>850</v>
      </c>
      <c r="X99" s="4" t="s">
        <v>767</v>
      </c>
      <c r="Y99" s="4"/>
      <c r="Z99" s="4" t="s">
        <v>768</v>
      </c>
      <c r="AA99" s="4">
        <v>5</v>
      </c>
      <c r="AB99" s="7">
        <v>32.5</v>
      </c>
      <c r="AC99" s="7">
        <f t="shared" si="7"/>
        <v>0.29268468403562647</v>
      </c>
      <c r="AD99" s="7">
        <v>111.041</v>
      </c>
      <c r="AE99" s="9">
        <v>46010</v>
      </c>
      <c r="AF99" s="9">
        <v>46010</v>
      </c>
      <c r="AG99" s="10">
        <v>0.63289351851851849</v>
      </c>
      <c r="AH99" s="4" t="s">
        <v>188</v>
      </c>
      <c r="AI99" s="4" t="s">
        <v>70</v>
      </c>
      <c r="AJ99" s="4" t="s">
        <v>71</v>
      </c>
      <c r="AK99" s="4" t="s">
        <v>72</v>
      </c>
      <c r="AL99" s="4" t="s">
        <v>73</v>
      </c>
      <c r="AM99" s="4" t="s">
        <v>74</v>
      </c>
      <c r="AN99" s="4" t="s">
        <v>75</v>
      </c>
      <c r="AO99" s="4" t="s">
        <v>76</v>
      </c>
      <c r="AP99" s="4" t="s">
        <v>77</v>
      </c>
      <c r="AQ99" s="4" t="s">
        <v>78</v>
      </c>
      <c r="AR99" s="4"/>
    </row>
    <row r="100" spans="1:44" x14ac:dyDescent="0.2">
      <c r="A100" s="8" t="s">
        <v>217</v>
      </c>
      <c r="B100" s="8" t="s">
        <v>218</v>
      </c>
      <c r="C100" s="8" t="s">
        <v>219</v>
      </c>
      <c r="D100" s="8" t="s">
        <v>220</v>
      </c>
      <c r="E100" s="8" t="s">
        <v>962</v>
      </c>
      <c r="F100" s="5">
        <v>325</v>
      </c>
      <c r="G100" s="5"/>
      <c r="H100" s="12"/>
      <c r="I100" s="5" t="s">
        <v>786</v>
      </c>
      <c r="J100" s="5" t="s">
        <v>786</v>
      </c>
      <c r="K100" s="5">
        <v>1476</v>
      </c>
      <c r="L100" s="5">
        <v>393</v>
      </c>
      <c r="M100" s="6" t="s">
        <v>776</v>
      </c>
      <c r="N100" s="6">
        <v>9.6000000000000002E-2</v>
      </c>
      <c r="O100" s="8" t="s">
        <v>24</v>
      </c>
      <c r="P100" s="8" t="s">
        <v>25</v>
      </c>
      <c r="Q100" s="8" t="s">
        <v>780</v>
      </c>
      <c r="R100" s="8" t="s">
        <v>25</v>
      </c>
      <c r="S100" s="8">
        <v>5</v>
      </c>
      <c r="T100" s="8">
        <v>5</v>
      </c>
      <c r="U100" s="8">
        <v>121</v>
      </c>
      <c r="V100" s="8">
        <v>291</v>
      </c>
      <c r="W100" s="8">
        <f t="shared" si="6"/>
        <v>391</v>
      </c>
      <c r="X100" s="4" t="s">
        <v>767</v>
      </c>
      <c r="Y100" s="4" t="s">
        <v>767</v>
      </c>
      <c r="Z100" s="4" t="s">
        <v>768</v>
      </c>
      <c r="AA100" s="4">
        <v>5</v>
      </c>
      <c r="AB100" s="7">
        <v>32.5</v>
      </c>
      <c r="AC100" s="7">
        <f t="shared" si="7"/>
        <v>0.29268468403562647</v>
      </c>
      <c r="AD100" s="7">
        <v>111.041</v>
      </c>
      <c r="AE100" s="9">
        <v>46010</v>
      </c>
      <c r="AF100" s="9">
        <v>46010</v>
      </c>
      <c r="AG100" s="10">
        <v>0.63185185185185189</v>
      </c>
      <c r="AH100" s="4" t="s">
        <v>188</v>
      </c>
      <c r="AI100" s="4" t="s">
        <v>70</v>
      </c>
      <c r="AJ100" s="4" t="s">
        <v>71</v>
      </c>
      <c r="AK100" s="4" t="s">
        <v>72</v>
      </c>
      <c r="AL100" s="4" t="s">
        <v>73</v>
      </c>
      <c r="AM100" s="4" t="s">
        <v>74</v>
      </c>
      <c r="AN100" s="4" t="s">
        <v>75</v>
      </c>
      <c r="AO100" s="4" t="s">
        <v>76</v>
      </c>
      <c r="AP100" s="4" t="s">
        <v>77</v>
      </c>
      <c r="AQ100" s="4" t="s">
        <v>78</v>
      </c>
      <c r="AR100" s="4"/>
    </row>
    <row r="101" spans="1:44" x14ac:dyDescent="0.2">
      <c r="A101" s="8" t="s">
        <v>221</v>
      </c>
      <c r="B101" s="8" t="s">
        <v>222</v>
      </c>
      <c r="C101" s="8" t="s">
        <v>223</v>
      </c>
      <c r="D101" s="8" t="s">
        <v>224</v>
      </c>
      <c r="E101" s="8" t="s">
        <v>962</v>
      </c>
      <c r="F101" s="5">
        <v>519</v>
      </c>
      <c r="G101" s="5"/>
      <c r="H101" s="12"/>
      <c r="I101" s="5" t="s">
        <v>785</v>
      </c>
      <c r="J101" s="5" t="s">
        <v>785</v>
      </c>
      <c r="K101" s="5">
        <v>1476</v>
      </c>
      <c r="L101" s="5">
        <v>393</v>
      </c>
      <c r="M101" s="6" t="s">
        <v>776</v>
      </c>
      <c r="N101" s="6">
        <v>0.129</v>
      </c>
      <c r="O101" s="8" t="s">
        <v>24</v>
      </c>
      <c r="P101" s="8" t="s">
        <v>25</v>
      </c>
      <c r="Q101" s="8" t="s">
        <v>780</v>
      </c>
      <c r="R101" s="8" t="s">
        <v>25</v>
      </c>
      <c r="S101" s="8">
        <v>5</v>
      </c>
      <c r="T101" s="8">
        <v>5</v>
      </c>
      <c r="U101" s="8">
        <v>351</v>
      </c>
      <c r="V101" s="8">
        <v>476</v>
      </c>
      <c r="W101" s="8">
        <f t="shared" si="6"/>
        <v>576</v>
      </c>
      <c r="X101" s="4" t="s">
        <v>767</v>
      </c>
      <c r="Y101" s="4" t="s">
        <v>767</v>
      </c>
      <c r="Z101" s="4" t="s">
        <v>768</v>
      </c>
      <c r="AA101" s="4">
        <v>5</v>
      </c>
      <c r="AB101" s="7">
        <v>32.5</v>
      </c>
      <c r="AC101" s="7">
        <f t="shared" si="7"/>
        <v>0.29268468403562647</v>
      </c>
      <c r="AD101" s="7">
        <v>111.041</v>
      </c>
      <c r="AE101" s="9">
        <v>46010</v>
      </c>
      <c r="AF101" s="9">
        <v>46010</v>
      </c>
      <c r="AG101" s="10">
        <v>0.63391203703703702</v>
      </c>
      <c r="AH101" s="4" t="s">
        <v>188</v>
      </c>
      <c r="AI101" s="4" t="s">
        <v>70</v>
      </c>
      <c r="AJ101" s="4" t="s">
        <v>71</v>
      </c>
      <c r="AK101" s="4" t="s">
        <v>72</v>
      </c>
      <c r="AL101" s="4" t="s">
        <v>73</v>
      </c>
      <c r="AM101" s="4" t="s">
        <v>74</v>
      </c>
      <c r="AN101" s="4" t="s">
        <v>75</v>
      </c>
      <c r="AO101" s="4" t="s">
        <v>76</v>
      </c>
      <c r="AP101" s="4" t="s">
        <v>77</v>
      </c>
      <c r="AQ101" s="4" t="s">
        <v>78</v>
      </c>
      <c r="AR101" s="4"/>
    </row>
    <row r="102" spans="1:44" x14ac:dyDescent="0.2">
      <c r="A102" s="8" t="s">
        <v>225</v>
      </c>
      <c r="B102" s="8" t="s">
        <v>226</v>
      </c>
      <c r="C102" s="8" t="s">
        <v>227</v>
      </c>
      <c r="D102" s="8" t="s">
        <v>228</v>
      </c>
      <c r="E102" s="8" t="s">
        <v>962</v>
      </c>
      <c r="F102" s="5">
        <v>600</v>
      </c>
      <c r="G102" s="5"/>
      <c r="H102" s="12"/>
      <c r="I102" s="5" t="s">
        <v>785</v>
      </c>
      <c r="J102" s="5" t="s">
        <v>785</v>
      </c>
      <c r="K102" s="5">
        <v>1476</v>
      </c>
      <c r="L102" s="5">
        <v>393</v>
      </c>
      <c r="M102" s="6" t="s">
        <v>776</v>
      </c>
      <c r="N102" s="6">
        <v>2.5000000000000001E-2</v>
      </c>
      <c r="O102" s="8" t="s">
        <v>24</v>
      </c>
      <c r="P102" s="8" t="s">
        <v>25</v>
      </c>
      <c r="Q102" s="8" t="s">
        <v>780</v>
      </c>
      <c r="R102" s="8" t="s">
        <v>25</v>
      </c>
      <c r="S102" s="8">
        <v>5</v>
      </c>
      <c r="T102" s="8">
        <v>5</v>
      </c>
      <c r="U102" s="8">
        <v>278</v>
      </c>
      <c r="V102" s="8">
        <v>334</v>
      </c>
      <c r="W102" s="8">
        <f t="shared" si="6"/>
        <v>434</v>
      </c>
      <c r="X102" s="4" t="s">
        <v>767</v>
      </c>
      <c r="Y102" s="4" t="s">
        <v>767</v>
      </c>
      <c r="Z102" s="4" t="s">
        <v>768</v>
      </c>
      <c r="AA102" s="4">
        <v>5</v>
      </c>
      <c r="AB102" s="7">
        <v>32.5</v>
      </c>
      <c r="AC102" s="7">
        <f t="shared" si="7"/>
        <v>0.29268468403562647</v>
      </c>
      <c r="AD102" s="7">
        <v>111.041</v>
      </c>
      <c r="AE102" s="9">
        <v>46010</v>
      </c>
      <c r="AF102" s="9">
        <v>46010</v>
      </c>
      <c r="AG102" s="10">
        <v>0.63460648148148147</v>
      </c>
      <c r="AH102" s="4" t="s">
        <v>188</v>
      </c>
      <c r="AI102" s="4" t="s">
        <v>70</v>
      </c>
      <c r="AJ102" s="4" t="s">
        <v>71</v>
      </c>
      <c r="AK102" s="4" t="s">
        <v>72</v>
      </c>
      <c r="AL102" s="4" t="s">
        <v>73</v>
      </c>
      <c r="AM102" s="4" t="s">
        <v>74</v>
      </c>
      <c r="AN102" s="4" t="s">
        <v>75</v>
      </c>
      <c r="AO102" s="4" t="s">
        <v>76</v>
      </c>
      <c r="AP102" s="4" t="s">
        <v>77</v>
      </c>
      <c r="AQ102" s="4" t="s">
        <v>78</v>
      </c>
      <c r="AR102" s="4"/>
    </row>
    <row r="103" spans="1:44" ht="15" customHeight="1" x14ac:dyDescent="0.2">
      <c r="A103" s="8" t="s">
        <v>229</v>
      </c>
      <c r="B103" s="8" t="s">
        <v>230</v>
      </c>
      <c r="C103" s="8" t="s">
        <v>231</v>
      </c>
      <c r="D103" s="8" t="s">
        <v>232</v>
      </c>
      <c r="E103" s="8" t="s">
        <v>962</v>
      </c>
      <c r="F103" s="14"/>
      <c r="G103" s="14"/>
      <c r="H103" s="15" t="s">
        <v>968</v>
      </c>
      <c r="I103" s="5" t="s">
        <v>785</v>
      </c>
      <c r="J103" s="5" t="s">
        <v>785</v>
      </c>
      <c r="K103" s="5">
        <v>1476</v>
      </c>
      <c r="L103" s="5">
        <v>393</v>
      </c>
      <c r="M103" s="6" t="s">
        <v>776</v>
      </c>
      <c r="N103" s="6">
        <v>0.42399999999999999</v>
      </c>
      <c r="O103" s="8" t="s">
        <v>24</v>
      </c>
      <c r="P103" s="8" t="s">
        <v>25</v>
      </c>
      <c r="Q103" s="8" t="s">
        <v>780</v>
      </c>
      <c r="R103" s="8" t="s">
        <v>25</v>
      </c>
      <c r="S103" s="8">
        <v>5</v>
      </c>
      <c r="T103" s="8">
        <v>5</v>
      </c>
      <c r="U103" s="8">
        <v>321</v>
      </c>
      <c r="V103" s="8">
        <v>537</v>
      </c>
      <c r="W103" s="8">
        <f t="shared" si="6"/>
        <v>637</v>
      </c>
      <c r="X103" s="4" t="s">
        <v>767</v>
      </c>
      <c r="Y103" s="4" t="s">
        <v>767</v>
      </c>
      <c r="Z103" s="4" t="s">
        <v>768</v>
      </c>
      <c r="AA103" s="4">
        <v>5</v>
      </c>
      <c r="AB103" s="7">
        <v>32.5</v>
      </c>
      <c r="AC103" s="7">
        <f t="shared" si="7"/>
        <v>0.29268468403562647</v>
      </c>
      <c r="AD103" s="7">
        <v>111.041</v>
      </c>
      <c r="AE103" s="9">
        <v>46010</v>
      </c>
      <c r="AF103" s="9">
        <v>46010</v>
      </c>
      <c r="AG103" s="10">
        <v>0.63479166666666664</v>
      </c>
      <c r="AH103" s="4" t="s">
        <v>188</v>
      </c>
      <c r="AI103" s="4" t="s">
        <v>70</v>
      </c>
      <c r="AJ103" s="4" t="s">
        <v>71</v>
      </c>
      <c r="AK103" s="4" t="s">
        <v>72</v>
      </c>
      <c r="AL103" s="4" t="s">
        <v>73</v>
      </c>
      <c r="AM103" s="4" t="s">
        <v>74</v>
      </c>
      <c r="AN103" s="4" t="s">
        <v>75</v>
      </c>
      <c r="AO103" s="4" t="s">
        <v>76</v>
      </c>
      <c r="AP103" s="4" t="s">
        <v>77</v>
      </c>
      <c r="AQ103" s="4" t="s">
        <v>78</v>
      </c>
      <c r="AR103" s="4"/>
    </row>
    <row r="104" spans="1:44" x14ac:dyDescent="0.2">
      <c r="A104" s="8" t="s">
        <v>337</v>
      </c>
      <c r="B104" s="8" t="s">
        <v>338</v>
      </c>
      <c r="C104" s="8" t="s">
        <v>339</v>
      </c>
      <c r="D104" s="8" t="s">
        <v>340</v>
      </c>
      <c r="E104" s="8" t="s">
        <v>962</v>
      </c>
      <c r="F104" s="5">
        <v>556</v>
      </c>
      <c r="G104" s="5"/>
      <c r="H104" s="12"/>
      <c r="I104" s="5" t="s">
        <v>785</v>
      </c>
      <c r="J104" s="5" t="s">
        <v>786</v>
      </c>
      <c r="K104" s="5">
        <v>1476</v>
      </c>
      <c r="L104" s="5">
        <v>393</v>
      </c>
      <c r="M104" s="6" t="s">
        <v>776</v>
      </c>
      <c r="N104" s="6">
        <v>4.8000000000000001E-2</v>
      </c>
      <c r="O104" s="8" t="s">
        <v>24</v>
      </c>
      <c r="P104" s="8" t="s">
        <v>41</v>
      </c>
      <c r="Q104" s="8" t="s">
        <v>780</v>
      </c>
      <c r="R104" s="8" t="s">
        <v>41</v>
      </c>
      <c r="S104" s="8">
        <v>6</v>
      </c>
      <c r="T104" s="8">
        <v>6</v>
      </c>
      <c r="U104" s="8">
        <v>413</v>
      </c>
      <c r="V104" s="8">
        <v>441</v>
      </c>
      <c r="W104" s="8">
        <f t="shared" si="6"/>
        <v>541</v>
      </c>
      <c r="X104" s="4" t="s">
        <v>766</v>
      </c>
      <c r="Y104" s="4"/>
      <c r="Z104" s="4" t="s">
        <v>768</v>
      </c>
      <c r="AA104" s="4">
        <v>5</v>
      </c>
      <c r="AB104" s="7">
        <v>32.5</v>
      </c>
      <c r="AC104" s="7">
        <f t="shared" si="7"/>
        <v>0.29268468403562647</v>
      </c>
      <c r="AD104" s="7">
        <v>111.041</v>
      </c>
      <c r="AE104" s="9">
        <v>46010</v>
      </c>
      <c r="AF104" s="9">
        <v>46010</v>
      </c>
      <c r="AG104" s="10">
        <v>0.64126157407407403</v>
      </c>
      <c r="AH104" s="4" t="s">
        <v>188</v>
      </c>
      <c r="AI104" s="4" t="s">
        <v>70</v>
      </c>
      <c r="AJ104" s="4" t="s">
        <v>71</v>
      </c>
      <c r="AK104" s="4" t="s">
        <v>72</v>
      </c>
      <c r="AL104" s="4" t="s">
        <v>73</v>
      </c>
      <c r="AM104" s="4" t="s">
        <v>74</v>
      </c>
      <c r="AN104" s="4" t="s">
        <v>75</v>
      </c>
      <c r="AO104" s="4" t="s">
        <v>76</v>
      </c>
      <c r="AP104" s="4" t="s">
        <v>77</v>
      </c>
      <c r="AQ104" s="4" t="s">
        <v>78</v>
      </c>
      <c r="AR104" s="4"/>
    </row>
    <row r="105" spans="1:44" x14ac:dyDescent="0.2">
      <c r="A105" s="8" t="s">
        <v>341</v>
      </c>
      <c r="B105" s="8" t="s">
        <v>342</v>
      </c>
      <c r="C105" s="8" t="s">
        <v>343</v>
      </c>
      <c r="D105" s="8" t="s">
        <v>344</v>
      </c>
      <c r="E105" s="8" t="s">
        <v>962</v>
      </c>
      <c r="F105" s="14"/>
      <c r="G105" s="14"/>
      <c r="H105" s="15" t="s">
        <v>968</v>
      </c>
      <c r="I105" s="5" t="s">
        <v>785</v>
      </c>
      <c r="J105" s="5" t="s">
        <v>785</v>
      </c>
      <c r="K105" s="5">
        <v>1476</v>
      </c>
      <c r="L105" s="5">
        <v>393</v>
      </c>
      <c r="M105" s="6" t="s">
        <v>776</v>
      </c>
      <c r="N105" s="6"/>
      <c r="O105" s="8" t="s">
        <v>24</v>
      </c>
      <c r="P105" s="8" t="s">
        <v>41</v>
      </c>
      <c r="Q105" s="8" t="s">
        <v>780</v>
      </c>
      <c r="R105" s="8" t="s">
        <v>41</v>
      </c>
      <c r="S105" s="8">
        <v>6</v>
      </c>
      <c r="T105" s="8">
        <v>6</v>
      </c>
      <c r="U105" s="8">
        <v>472</v>
      </c>
      <c r="V105" s="8">
        <v>507</v>
      </c>
      <c r="W105" s="8">
        <f t="shared" si="6"/>
        <v>607</v>
      </c>
      <c r="X105" s="4" t="s">
        <v>766</v>
      </c>
      <c r="Y105" s="4"/>
      <c r="Z105" s="4" t="s">
        <v>768</v>
      </c>
      <c r="AA105" s="4">
        <v>5</v>
      </c>
      <c r="AB105" s="7">
        <v>32.5</v>
      </c>
      <c r="AC105" s="7">
        <f t="shared" si="7"/>
        <v>0.29268468403562647</v>
      </c>
      <c r="AD105" s="7">
        <v>111.041</v>
      </c>
      <c r="AE105" s="9">
        <v>46010</v>
      </c>
      <c r="AF105" s="9">
        <v>46010</v>
      </c>
      <c r="AG105" s="10">
        <v>0.6420717592592593</v>
      </c>
      <c r="AH105" s="4" t="s">
        <v>188</v>
      </c>
      <c r="AI105" s="4" t="s">
        <v>70</v>
      </c>
      <c r="AJ105" s="4" t="s">
        <v>71</v>
      </c>
      <c r="AK105" s="4" t="s">
        <v>72</v>
      </c>
      <c r="AL105" s="4" t="s">
        <v>73</v>
      </c>
      <c r="AM105" s="4" t="s">
        <v>74</v>
      </c>
      <c r="AN105" s="4" t="s">
        <v>75</v>
      </c>
      <c r="AO105" s="4" t="s">
        <v>76</v>
      </c>
      <c r="AP105" s="4" t="s">
        <v>77</v>
      </c>
      <c r="AQ105" s="4" t="s">
        <v>78</v>
      </c>
      <c r="AR105" s="4"/>
    </row>
    <row r="106" spans="1:44" x14ac:dyDescent="0.2">
      <c r="A106" s="8" t="s">
        <v>345</v>
      </c>
      <c r="B106" s="8" t="s">
        <v>346</v>
      </c>
      <c r="C106" s="8" t="s">
        <v>347</v>
      </c>
      <c r="D106" s="8" t="s">
        <v>348</v>
      </c>
      <c r="E106" s="8" t="s">
        <v>962</v>
      </c>
      <c r="F106" s="14"/>
      <c r="G106" s="14"/>
      <c r="H106" s="15" t="s">
        <v>968</v>
      </c>
      <c r="I106" s="5" t="s">
        <v>785</v>
      </c>
      <c r="J106" s="5" t="s">
        <v>785</v>
      </c>
      <c r="K106" s="5">
        <v>1476</v>
      </c>
      <c r="L106" s="5">
        <v>393</v>
      </c>
      <c r="M106" s="6" t="s">
        <v>776</v>
      </c>
      <c r="N106" s="6">
        <v>0.46700000000000003</v>
      </c>
      <c r="O106" s="8" t="s">
        <v>24</v>
      </c>
      <c r="P106" s="8" t="s">
        <v>41</v>
      </c>
      <c r="Q106" s="8" t="s">
        <v>780</v>
      </c>
      <c r="R106" s="8" t="s">
        <v>41</v>
      </c>
      <c r="S106" s="8">
        <v>6</v>
      </c>
      <c r="T106" s="8">
        <v>6</v>
      </c>
      <c r="U106" s="8">
        <v>368</v>
      </c>
      <c r="V106" s="8">
        <v>445</v>
      </c>
      <c r="W106" s="8">
        <f t="shared" si="6"/>
        <v>545</v>
      </c>
      <c r="X106" s="4" t="s">
        <v>766</v>
      </c>
      <c r="Y106" s="4" t="s">
        <v>767</v>
      </c>
      <c r="Z106" s="4" t="s">
        <v>768</v>
      </c>
      <c r="AA106" s="4">
        <v>5</v>
      </c>
      <c r="AB106" s="7">
        <v>32.5</v>
      </c>
      <c r="AC106" s="7">
        <f t="shared" si="7"/>
        <v>0.29268468403562647</v>
      </c>
      <c r="AD106" s="7">
        <v>111.041</v>
      </c>
      <c r="AE106" s="9">
        <v>46010</v>
      </c>
      <c r="AF106" s="9">
        <v>46010</v>
      </c>
      <c r="AG106" s="10">
        <v>0.64310185185185187</v>
      </c>
      <c r="AH106" s="4" t="s">
        <v>188</v>
      </c>
      <c r="AI106" s="4" t="s">
        <v>70</v>
      </c>
      <c r="AJ106" s="4" t="s">
        <v>71</v>
      </c>
      <c r="AK106" s="4" t="s">
        <v>72</v>
      </c>
      <c r="AL106" s="4" t="s">
        <v>73</v>
      </c>
      <c r="AM106" s="4" t="s">
        <v>74</v>
      </c>
      <c r="AN106" s="4" t="s">
        <v>75</v>
      </c>
      <c r="AO106" s="4" t="s">
        <v>76</v>
      </c>
      <c r="AP106" s="4" t="s">
        <v>77</v>
      </c>
      <c r="AQ106" s="4" t="s">
        <v>78</v>
      </c>
      <c r="AR106" s="4"/>
    </row>
    <row r="107" spans="1:44" x14ac:dyDescent="0.2">
      <c r="A107" s="8" t="s">
        <v>349</v>
      </c>
      <c r="B107" s="8" t="s">
        <v>350</v>
      </c>
      <c r="C107" s="8" t="s">
        <v>351</v>
      </c>
      <c r="D107" s="8" t="s">
        <v>352</v>
      </c>
      <c r="E107" s="8" t="s">
        <v>962</v>
      </c>
      <c r="F107" s="14"/>
      <c r="G107" s="14"/>
      <c r="H107" s="15" t="s">
        <v>968</v>
      </c>
      <c r="I107" s="5" t="s">
        <v>785</v>
      </c>
      <c r="J107" s="5" t="s">
        <v>785</v>
      </c>
      <c r="K107" s="5">
        <v>1476</v>
      </c>
      <c r="L107" s="5">
        <v>393</v>
      </c>
      <c r="M107" s="6" t="s">
        <v>776</v>
      </c>
      <c r="N107" s="6">
        <v>0.123</v>
      </c>
      <c r="O107" s="8" t="s">
        <v>24</v>
      </c>
      <c r="P107" s="8" t="s">
        <v>41</v>
      </c>
      <c r="Q107" s="8" t="s">
        <v>780</v>
      </c>
      <c r="R107" s="8" t="s">
        <v>41</v>
      </c>
      <c r="S107" s="8">
        <v>6</v>
      </c>
      <c r="T107" s="8">
        <v>6</v>
      </c>
      <c r="U107" s="8">
        <v>152</v>
      </c>
      <c r="V107" s="8">
        <v>172</v>
      </c>
      <c r="W107" s="8">
        <f t="shared" si="6"/>
        <v>272</v>
      </c>
      <c r="X107" s="4" t="s">
        <v>766</v>
      </c>
      <c r="Y107" s="4" t="s">
        <v>767</v>
      </c>
      <c r="Z107" s="4" t="s">
        <v>768</v>
      </c>
      <c r="AA107" s="4">
        <v>5</v>
      </c>
      <c r="AB107" s="7">
        <v>32.5</v>
      </c>
      <c r="AC107" s="7">
        <f t="shared" si="7"/>
        <v>0.29268468403562647</v>
      </c>
      <c r="AD107" s="7">
        <v>111.041</v>
      </c>
      <c r="AE107" s="9">
        <v>46010</v>
      </c>
      <c r="AF107" s="9">
        <v>46010</v>
      </c>
      <c r="AG107" s="10">
        <v>0.64321759259259259</v>
      </c>
      <c r="AH107" s="4" t="s">
        <v>188</v>
      </c>
      <c r="AI107" s="4" t="s">
        <v>70</v>
      </c>
      <c r="AJ107" s="4" t="s">
        <v>71</v>
      </c>
      <c r="AK107" s="4" t="s">
        <v>72</v>
      </c>
      <c r="AL107" s="4" t="s">
        <v>73</v>
      </c>
      <c r="AM107" s="4" t="s">
        <v>74</v>
      </c>
      <c r="AN107" s="4" t="s">
        <v>75</v>
      </c>
      <c r="AO107" s="4" t="s">
        <v>76</v>
      </c>
      <c r="AP107" s="4" t="s">
        <v>77</v>
      </c>
      <c r="AQ107" s="4" t="s">
        <v>78</v>
      </c>
      <c r="AR107" s="4"/>
    </row>
    <row r="108" spans="1:44" x14ac:dyDescent="0.2">
      <c r="A108" s="8" t="s">
        <v>353</v>
      </c>
      <c r="B108" s="8" t="s">
        <v>354</v>
      </c>
      <c r="C108" s="8" t="s">
        <v>355</v>
      </c>
      <c r="D108" s="8" t="s">
        <v>356</v>
      </c>
      <c r="E108" s="8" t="s">
        <v>962</v>
      </c>
      <c r="F108" s="14"/>
      <c r="G108" s="14"/>
      <c r="H108" s="15" t="s">
        <v>968</v>
      </c>
      <c r="I108" s="5" t="s">
        <v>785</v>
      </c>
      <c r="J108" s="5" t="s">
        <v>785</v>
      </c>
      <c r="K108" s="5">
        <v>1476</v>
      </c>
      <c r="L108" s="5">
        <v>393</v>
      </c>
      <c r="M108" s="6" t="s">
        <v>776</v>
      </c>
      <c r="N108" s="6">
        <v>0.14000000000000001</v>
      </c>
      <c r="O108" s="8" t="s">
        <v>24</v>
      </c>
      <c r="P108" s="8" t="s">
        <v>41</v>
      </c>
      <c r="Q108" s="8" t="s">
        <v>780</v>
      </c>
      <c r="R108" s="8" t="s">
        <v>41</v>
      </c>
      <c r="S108" s="8">
        <v>6</v>
      </c>
      <c r="T108" s="8">
        <v>6</v>
      </c>
      <c r="U108" s="8">
        <v>459</v>
      </c>
      <c r="V108" s="8">
        <v>496</v>
      </c>
      <c r="W108" s="8">
        <f t="shared" si="6"/>
        <v>596</v>
      </c>
      <c r="X108" s="4" t="s">
        <v>766</v>
      </c>
      <c r="Y108" s="4" t="s">
        <v>767</v>
      </c>
      <c r="Z108" s="4" t="s">
        <v>768</v>
      </c>
      <c r="AA108" s="4">
        <v>5</v>
      </c>
      <c r="AB108" s="7">
        <v>32.5</v>
      </c>
      <c r="AC108" s="7">
        <f t="shared" si="7"/>
        <v>0.29268468403562647</v>
      </c>
      <c r="AD108" s="7">
        <v>111.041</v>
      </c>
      <c r="AE108" s="9">
        <v>46010</v>
      </c>
      <c r="AF108" s="9">
        <v>46010</v>
      </c>
      <c r="AG108" s="10">
        <v>0.64437500000000003</v>
      </c>
      <c r="AH108" s="4" t="s">
        <v>188</v>
      </c>
      <c r="AI108" s="4" t="s">
        <v>70</v>
      </c>
      <c r="AJ108" s="4" t="s">
        <v>71</v>
      </c>
      <c r="AK108" s="4" t="s">
        <v>72</v>
      </c>
      <c r="AL108" s="4" t="s">
        <v>73</v>
      </c>
      <c r="AM108" s="4" t="s">
        <v>74</v>
      </c>
      <c r="AN108" s="4" t="s">
        <v>75</v>
      </c>
      <c r="AO108" s="4" t="s">
        <v>76</v>
      </c>
      <c r="AP108" s="4" t="s">
        <v>77</v>
      </c>
      <c r="AQ108" s="4" t="s">
        <v>78</v>
      </c>
      <c r="AR108" s="4"/>
    </row>
    <row r="109" spans="1:44" x14ac:dyDescent="0.2">
      <c r="A109" s="8" t="s">
        <v>357</v>
      </c>
      <c r="B109" s="8" t="s">
        <v>358</v>
      </c>
      <c r="C109" s="8" t="s">
        <v>359</v>
      </c>
      <c r="D109" s="8" t="s">
        <v>360</v>
      </c>
      <c r="E109" s="8" t="s">
        <v>962</v>
      </c>
      <c r="F109" s="14"/>
      <c r="G109" s="14"/>
      <c r="H109" s="15" t="s">
        <v>968</v>
      </c>
      <c r="I109" s="5" t="s">
        <v>785</v>
      </c>
      <c r="J109" s="5" t="s">
        <v>785</v>
      </c>
      <c r="K109" s="5">
        <v>1476</v>
      </c>
      <c r="L109" s="5">
        <v>393</v>
      </c>
      <c r="M109" s="6" t="s">
        <v>776</v>
      </c>
      <c r="N109" s="6">
        <v>0.182</v>
      </c>
      <c r="O109" s="8" t="s">
        <v>24</v>
      </c>
      <c r="P109" s="8" t="s">
        <v>41</v>
      </c>
      <c r="Q109" s="8" t="s">
        <v>780</v>
      </c>
      <c r="R109" s="8" t="s">
        <v>41</v>
      </c>
      <c r="S109" s="8">
        <v>6</v>
      </c>
      <c r="T109" s="8">
        <v>6</v>
      </c>
      <c r="U109" s="8">
        <v>72</v>
      </c>
      <c r="V109" s="8">
        <v>453</v>
      </c>
      <c r="W109" s="8">
        <f t="shared" si="6"/>
        <v>553</v>
      </c>
      <c r="X109" s="4" t="s">
        <v>767</v>
      </c>
      <c r="Y109" s="4"/>
      <c r="Z109" s="4" t="s">
        <v>768</v>
      </c>
      <c r="AA109" s="4">
        <v>5</v>
      </c>
      <c r="AB109" s="7">
        <v>32.5</v>
      </c>
      <c r="AC109" s="7">
        <f t="shared" si="7"/>
        <v>0.29268468403562647</v>
      </c>
      <c r="AD109" s="7">
        <v>111.041</v>
      </c>
      <c r="AE109" s="9">
        <v>46010</v>
      </c>
      <c r="AF109" s="9">
        <v>46010</v>
      </c>
      <c r="AG109" s="10">
        <v>0.64457175925925925</v>
      </c>
      <c r="AH109" s="4" t="s">
        <v>188</v>
      </c>
      <c r="AI109" s="4" t="s">
        <v>70</v>
      </c>
      <c r="AJ109" s="4" t="s">
        <v>71</v>
      </c>
      <c r="AK109" s="4" t="s">
        <v>72</v>
      </c>
      <c r="AL109" s="4" t="s">
        <v>73</v>
      </c>
      <c r="AM109" s="4" t="s">
        <v>74</v>
      </c>
      <c r="AN109" s="4" t="s">
        <v>75</v>
      </c>
      <c r="AO109" s="4" t="s">
        <v>76</v>
      </c>
      <c r="AP109" s="4" t="s">
        <v>77</v>
      </c>
      <c r="AQ109" s="4" t="s">
        <v>78</v>
      </c>
      <c r="AR109" s="4"/>
    </row>
    <row r="110" spans="1:44" x14ac:dyDescent="0.2">
      <c r="A110" s="8" t="s">
        <v>361</v>
      </c>
      <c r="B110" s="8" t="s">
        <v>362</v>
      </c>
      <c r="C110" s="8" t="s">
        <v>363</v>
      </c>
      <c r="D110" s="8" t="s">
        <v>364</v>
      </c>
      <c r="E110" s="8" t="s">
        <v>962</v>
      </c>
      <c r="F110" s="5">
        <v>195</v>
      </c>
      <c r="G110" s="5"/>
      <c r="H110" s="12"/>
      <c r="I110" s="5" t="s">
        <v>785</v>
      </c>
      <c r="J110" s="5" t="s">
        <v>785</v>
      </c>
      <c r="K110" s="5">
        <v>1476</v>
      </c>
      <c r="L110" s="5">
        <v>393</v>
      </c>
      <c r="M110" s="6" t="s">
        <v>776</v>
      </c>
      <c r="N110" s="6">
        <v>0.115</v>
      </c>
      <c r="O110" s="8" t="s">
        <v>24</v>
      </c>
      <c r="P110" s="8" t="s">
        <v>41</v>
      </c>
      <c r="Q110" s="8" t="s">
        <v>780</v>
      </c>
      <c r="R110" s="8" t="s">
        <v>41</v>
      </c>
      <c r="S110" s="8">
        <v>6</v>
      </c>
      <c r="T110" s="8">
        <v>6</v>
      </c>
      <c r="U110" s="8">
        <v>122</v>
      </c>
      <c r="V110" s="8">
        <v>162</v>
      </c>
      <c r="W110" s="8">
        <f t="shared" si="6"/>
        <v>262</v>
      </c>
      <c r="X110" s="4" t="s">
        <v>767</v>
      </c>
      <c r="Y110" s="4"/>
      <c r="Z110" s="4" t="s">
        <v>768</v>
      </c>
      <c r="AA110" s="4">
        <v>5</v>
      </c>
      <c r="AB110" s="7">
        <v>32.5</v>
      </c>
      <c r="AC110" s="7">
        <f t="shared" si="7"/>
        <v>0.29268468403562647</v>
      </c>
      <c r="AD110" s="7">
        <v>111.041</v>
      </c>
      <c r="AE110" s="9">
        <v>46010</v>
      </c>
      <c r="AF110" s="9">
        <v>46010</v>
      </c>
      <c r="AG110" s="10">
        <v>0.64493055555555556</v>
      </c>
      <c r="AH110" s="4" t="s">
        <v>188</v>
      </c>
      <c r="AI110" s="4" t="s">
        <v>70</v>
      </c>
      <c r="AJ110" s="4" t="s">
        <v>71</v>
      </c>
      <c r="AK110" s="4" t="s">
        <v>72</v>
      </c>
      <c r="AL110" s="4" t="s">
        <v>73</v>
      </c>
      <c r="AM110" s="4" t="s">
        <v>74</v>
      </c>
      <c r="AN110" s="4" t="s">
        <v>75</v>
      </c>
      <c r="AO110" s="4" t="s">
        <v>76</v>
      </c>
      <c r="AP110" s="4" t="s">
        <v>77</v>
      </c>
      <c r="AQ110" s="4" t="s">
        <v>78</v>
      </c>
      <c r="AR110" s="4"/>
    </row>
    <row r="111" spans="1:44" x14ac:dyDescent="0.2">
      <c r="A111" s="8" t="s">
        <v>37</v>
      </c>
      <c r="B111" s="8" t="s">
        <v>38</v>
      </c>
      <c r="C111" s="8" t="s">
        <v>39</v>
      </c>
      <c r="D111" s="8" t="s">
        <v>40</v>
      </c>
      <c r="E111" s="8" t="s">
        <v>962</v>
      </c>
      <c r="F111" s="14"/>
      <c r="G111" s="14"/>
      <c r="H111" s="15" t="s">
        <v>968</v>
      </c>
      <c r="I111" s="5" t="s">
        <v>785</v>
      </c>
      <c r="J111" s="5" t="s">
        <v>786</v>
      </c>
      <c r="K111" s="5">
        <v>698</v>
      </c>
      <c r="L111" s="5">
        <v>286</v>
      </c>
      <c r="M111" s="6" t="s">
        <v>776</v>
      </c>
      <c r="N111" s="6">
        <v>0.35199999999999998</v>
      </c>
      <c r="O111" s="8" t="s">
        <v>24</v>
      </c>
      <c r="P111" s="8" t="s">
        <v>41</v>
      </c>
      <c r="Q111" s="8" t="s">
        <v>780</v>
      </c>
      <c r="R111" s="8" t="s">
        <v>41</v>
      </c>
      <c r="S111" s="8">
        <v>2</v>
      </c>
      <c r="T111" s="8">
        <v>2</v>
      </c>
      <c r="U111" s="8">
        <v>553</v>
      </c>
      <c r="V111" s="8">
        <v>595</v>
      </c>
      <c r="W111" s="8">
        <f t="shared" si="6"/>
        <v>695</v>
      </c>
      <c r="X111" s="4" t="s">
        <v>767</v>
      </c>
      <c r="Y111" s="4" t="s">
        <v>766</v>
      </c>
      <c r="Z111" s="4" t="s">
        <v>768</v>
      </c>
      <c r="AA111" s="4">
        <v>4</v>
      </c>
      <c r="AB111" s="7">
        <v>32.5</v>
      </c>
      <c r="AC111" s="7">
        <f t="shared" si="7"/>
        <v>0.26859504132231404</v>
      </c>
      <c r="AD111" s="7">
        <v>121</v>
      </c>
      <c r="AE111" s="9">
        <v>46031</v>
      </c>
      <c r="AF111" s="9">
        <v>46031</v>
      </c>
      <c r="AG111" s="10">
        <v>0.60855324074074069</v>
      </c>
      <c r="AH111" s="4" t="s">
        <v>26</v>
      </c>
      <c r="AI111" s="4" t="s">
        <v>27</v>
      </c>
      <c r="AJ111" s="4" t="s">
        <v>28</v>
      </c>
      <c r="AK111" s="4" t="s">
        <v>29</v>
      </c>
      <c r="AL111" s="4" t="s">
        <v>30</v>
      </c>
      <c r="AM111" s="4" t="s">
        <v>31</v>
      </c>
      <c r="AN111" s="4" t="s">
        <v>32</v>
      </c>
      <c r="AO111" s="4" t="s">
        <v>33</v>
      </c>
      <c r="AP111" s="4" t="s">
        <v>34</v>
      </c>
      <c r="AQ111" s="4" t="s">
        <v>35</v>
      </c>
      <c r="AR111" s="4" t="s">
        <v>36</v>
      </c>
    </row>
    <row r="112" spans="1:44" x14ac:dyDescent="0.2">
      <c r="A112" s="8" t="s">
        <v>42</v>
      </c>
      <c r="B112" s="8" t="s">
        <v>43</v>
      </c>
      <c r="C112" s="8" t="s">
        <v>44</v>
      </c>
      <c r="D112" s="8" t="s">
        <v>45</v>
      </c>
      <c r="E112" s="8" t="s">
        <v>962</v>
      </c>
      <c r="F112" s="14"/>
      <c r="G112" s="14"/>
      <c r="H112" s="15" t="s">
        <v>968</v>
      </c>
      <c r="I112" s="5" t="s">
        <v>785</v>
      </c>
      <c r="J112" s="5" t="s">
        <v>785</v>
      </c>
      <c r="K112" s="5">
        <v>700</v>
      </c>
      <c r="L112" s="5">
        <v>290</v>
      </c>
      <c r="M112" s="6" t="s">
        <v>776</v>
      </c>
      <c r="N112" s="6">
        <v>0.19900000000000001</v>
      </c>
      <c r="O112" s="8" t="s">
        <v>24</v>
      </c>
      <c r="P112" s="8" t="s">
        <v>41</v>
      </c>
      <c r="Q112" s="8" t="s">
        <v>780</v>
      </c>
      <c r="R112" s="8" t="s">
        <v>41</v>
      </c>
      <c r="S112" s="8">
        <v>2</v>
      </c>
      <c r="T112" s="8">
        <v>2</v>
      </c>
      <c r="U112" s="8">
        <v>536</v>
      </c>
      <c r="V112" s="8">
        <v>600</v>
      </c>
      <c r="W112" s="8">
        <f t="shared" si="6"/>
        <v>700</v>
      </c>
      <c r="X112" s="4" t="s">
        <v>767</v>
      </c>
      <c r="Y112" s="4"/>
      <c r="Z112" s="4" t="s">
        <v>768</v>
      </c>
      <c r="AA112" s="4">
        <v>4</v>
      </c>
      <c r="AB112" s="7">
        <v>32.5</v>
      </c>
      <c r="AC112" s="7">
        <f t="shared" si="7"/>
        <v>0.26859504132231404</v>
      </c>
      <c r="AD112" s="7">
        <v>121</v>
      </c>
      <c r="AE112" s="9">
        <v>46031</v>
      </c>
      <c r="AF112" s="9">
        <v>46031</v>
      </c>
      <c r="AG112" s="10">
        <v>0.60793981481481485</v>
      </c>
      <c r="AH112" s="4" t="s">
        <v>26</v>
      </c>
      <c r="AI112" s="4" t="s">
        <v>27</v>
      </c>
      <c r="AJ112" s="4" t="s">
        <v>28</v>
      </c>
      <c r="AK112" s="4" t="s">
        <v>29</v>
      </c>
      <c r="AL112" s="4" t="s">
        <v>30</v>
      </c>
      <c r="AM112" s="4" t="s">
        <v>31</v>
      </c>
      <c r="AN112" s="4" t="s">
        <v>32</v>
      </c>
      <c r="AO112" s="4" t="s">
        <v>33</v>
      </c>
      <c r="AP112" s="4" t="s">
        <v>34</v>
      </c>
      <c r="AQ112" s="4" t="s">
        <v>35</v>
      </c>
      <c r="AR112" s="4" t="s">
        <v>36</v>
      </c>
    </row>
    <row r="113" spans="1:44" x14ac:dyDescent="0.2">
      <c r="A113" s="8" t="s">
        <v>54</v>
      </c>
      <c r="B113" s="8" t="s">
        <v>55</v>
      </c>
      <c r="C113" s="8" t="s">
        <v>56</v>
      </c>
      <c r="D113" s="8" t="s">
        <v>57</v>
      </c>
      <c r="E113" s="8" t="s">
        <v>962</v>
      </c>
      <c r="F113" s="5">
        <v>525</v>
      </c>
      <c r="G113" s="5"/>
      <c r="H113" s="12"/>
      <c r="I113" s="5" t="s">
        <v>786</v>
      </c>
      <c r="J113" s="5" t="s">
        <v>786</v>
      </c>
      <c r="K113" s="5">
        <v>694</v>
      </c>
      <c r="L113" s="5">
        <v>289</v>
      </c>
      <c r="M113" s="6" t="s">
        <v>776</v>
      </c>
      <c r="N113" s="6">
        <v>0.36499999999999999</v>
      </c>
      <c r="O113" s="8" t="s">
        <v>24</v>
      </c>
      <c r="P113" s="8" t="s">
        <v>25</v>
      </c>
      <c r="Q113" s="8" t="s">
        <v>779</v>
      </c>
      <c r="R113" s="8" t="s">
        <v>25</v>
      </c>
      <c r="S113" s="8">
        <v>4</v>
      </c>
      <c r="T113" s="8">
        <v>4</v>
      </c>
      <c r="U113" s="8">
        <v>396</v>
      </c>
      <c r="V113" s="8">
        <v>502</v>
      </c>
      <c r="W113" s="8">
        <f t="shared" si="6"/>
        <v>602</v>
      </c>
      <c r="X113" s="4" t="s">
        <v>766</v>
      </c>
      <c r="Y113" s="4" t="s">
        <v>766</v>
      </c>
      <c r="Z113" s="4" t="s">
        <v>768</v>
      </c>
      <c r="AA113" s="4">
        <v>4</v>
      </c>
      <c r="AB113" s="7">
        <v>32.5</v>
      </c>
      <c r="AC113" s="7">
        <f t="shared" si="7"/>
        <v>0.26859504132231404</v>
      </c>
      <c r="AD113" s="7">
        <v>121</v>
      </c>
      <c r="AE113" s="9">
        <v>46031</v>
      </c>
      <c r="AF113" s="9">
        <v>46031</v>
      </c>
      <c r="AG113" s="10">
        <v>0.59707175925925926</v>
      </c>
      <c r="AH113" s="4" t="s">
        <v>26</v>
      </c>
      <c r="AI113" s="4" t="s">
        <v>27</v>
      </c>
      <c r="AJ113" s="4" t="s">
        <v>28</v>
      </c>
      <c r="AK113" s="4" t="s">
        <v>29</v>
      </c>
      <c r="AL113" s="4" t="s">
        <v>30</v>
      </c>
      <c r="AM113" s="4" t="s">
        <v>31</v>
      </c>
      <c r="AN113" s="4" t="s">
        <v>32</v>
      </c>
      <c r="AO113" s="4" t="s">
        <v>33</v>
      </c>
      <c r="AP113" s="4" t="s">
        <v>34</v>
      </c>
      <c r="AQ113" s="4" t="s">
        <v>35</v>
      </c>
      <c r="AR113" s="4" t="s">
        <v>36</v>
      </c>
    </row>
    <row r="114" spans="1:44" x14ac:dyDescent="0.2">
      <c r="A114" s="8" t="s">
        <v>58</v>
      </c>
      <c r="B114" s="8" t="s">
        <v>59</v>
      </c>
      <c r="C114" s="8" t="s">
        <v>60</v>
      </c>
      <c r="D114" s="8" t="s">
        <v>61</v>
      </c>
      <c r="E114" s="8" t="s">
        <v>962</v>
      </c>
      <c r="F114" s="5">
        <v>552</v>
      </c>
      <c r="G114" s="5"/>
      <c r="H114" s="12"/>
      <c r="I114" s="5" t="s">
        <v>785</v>
      </c>
      <c r="J114" s="5" t="s">
        <v>785</v>
      </c>
      <c r="K114" s="5">
        <v>694</v>
      </c>
      <c r="L114" s="5">
        <v>289</v>
      </c>
      <c r="M114" s="6" t="s">
        <v>776</v>
      </c>
      <c r="N114" s="6">
        <v>0.20699999999999999</v>
      </c>
      <c r="O114" s="8" t="s">
        <v>24</v>
      </c>
      <c r="P114" s="8" t="s">
        <v>25</v>
      </c>
      <c r="Q114" s="8" t="s">
        <v>779</v>
      </c>
      <c r="R114" s="8" t="s">
        <v>25</v>
      </c>
      <c r="S114" s="8">
        <v>4</v>
      </c>
      <c r="T114" s="8">
        <v>4</v>
      </c>
      <c r="U114" s="8">
        <v>461</v>
      </c>
      <c r="V114" s="8">
        <v>536</v>
      </c>
      <c r="W114" s="8">
        <f t="shared" si="6"/>
        <v>636</v>
      </c>
      <c r="X114" s="4" t="s">
        <v>766</v>
      </c>
      <c r="Y114" s="4" t="s">
        <v>766</v>
      </c>
      <c r="Z114" s="4" t="s">
        <v>768</v>
      </c>
      <c r="AA114" s="4">
        <v>4</v>
      </c>
      <c r="AB114" s="7">
        <v>32.5</v>
      </c>
      <c r="AC114" s="7">
        <f t="shared" si="7"/>
        <v>0.26859504132231404</v>
      </c>
      <c r="AD114" s="7">
        <v>121</v>
      </c>
      <c r="AE114" s="9">
        <v>46031</v>
      </c>
      <c r="AF114" s="9">
        <v>46031</v>
      </c>
      <c r="AG114" s="10">
        <v>0.59719907407407402</v>
      </c>
      <c r="AH114" s="4" t="s">
        <v>26</v>
      </c>
      <c r="AI114" s="4" t="s">
        <v>27</v>
      </c>
      <c r="AJ114" s="4" t="s">
        <v>28</v>
      </c>
      <c r="AK114" s="4" t="s">
        <v>29</v>
      </c>
      <c r="AL114" s="4" t="s">
        <v>30</v>
      </c>
      <c r="AM114" s="4" t="s">
        <v>31</v>
      </c>
      <c r="AN114" s="4" t="s">
        <v>32</v>
      </c>
      <c r="AO114" s="4" t="s">
        <v>33</v>
      </c>
      <c r="AP114" s="4" t="s">
        <v>34</v>
      </c>
      <c r="AQ114" s="4" t="s">
        <v>35</v>
      </c>
      <c r="AR114" s="4" t="s">
        <v>36</v>
      </c>
    </row>
    <row r="115" spans="1:44" x14ac:dyDescent="0.2">
      <c r="A115" s="8" t="s">
        <v>62</v>
      </c>
      <c r="B115" s="8" t="s">
        <v>63</v>
      </c>
      <c r="C115" s="8" t="s">
        <v>64</v>
      </c>
      <c r="D115" s="8" t="s">
        <v>65</v>
      </c>
      <c r="E115" s="8" t="s">
        <v>962</v>
      </c>
      <c r="F115" s="14"/>
      <c r="G115" s="14"/>
      <c r="H115" s="15" t="s">
        <v>968</v>
      </c>
      <c r="I115" s="5" t="s">
        <v>785</v>
      </c>
      <c r="J115" s="5" t="s">
        <v>785</v>
      </c>
      <c r="K115" s="5">
        <v>694</v>
      </c>
      <c r="L115" s="5">
        <v>289</v>
      </c>
      <c r="M115" s="6" t="s">
        <v>776</v>
      </c>
      <c r="N115" s="6">
        <v>0.6</v>
      </c>
      <c r="O115" s="8" t="s">
        <v>24</v>
      </c>
      <c r="P115" s="8" t="s">
        <v>25</v>
      </c>
      <c r="Q115" s="8" t="s">
        <v>779</v>
      </c>
      <c r="R115" s="8" t="s">
        <v>25</v>
      </c>
      <c r="S115" s="8">
        <v>4</v>
      </c>
      <c r="T115" s="8">
        <v>4</v>
      </c>
      <c r="U115" s="8">
        <v>486</v>
      </c>
      <c r="V115" s="8">
        <v>557</v>
      </c>
      <c r="W115" s="8">
        <f t="shared" si="6"/>
        <v>657</v>
      </c>
      <c r="X115" s="4" t="s">
        <v>766</v>
      </c>
      <c r="Y115" s="4" t="s">
        <v>766</v>
      </c>
      <c r="Z115" s="4" t="s">
        <v>768</v>
      </c>
      <c r="AA115" s="4">
        <v>4</v>
      </c>
      <c r="AB115" s="7">
        <v>32.5</v>
      </c>
      <c r="AC115" s="7">
        <f t="shared" si="7"/>
        <v>0.26859504132231404</v>
      </c>
      <c r="AD115" s="7">
        <v>121</v>
      </c>
      <c r="AE115" s="9">
        <v>46031</v>
      </c>
      <c r="AF115" s="9">
        <v>46031</v>
      </c>
      <c r="AG115" s="10">
        <v>0.59733796296296293</v>
      </c>
      <c r="AH115" s="4" t="s">
        <v>26</v>
      </c>
      <c r="AI115" s="4" t="s">
        <v>27</v>
      </c>
      <c r="AJ115" s="4" t="s">
        <v>28</v>
      </c>
      <c r="AK115" s="4" t="s">
        <v>29</v>
      </c>
      <c r="AL115" s="4" t="s">
        <v>30</v>
      </c>
      <c r="AM115" s="4" t="s">
        <v>31</v>
      </c>
      <c r="AN115" s="4" t="s">
        <v>32</v>
      </c>
      <c r="AO115" s="4" t="s">
        <v>33</v>
      </c>
      <c r="AP115" s="4" t="s">
        <v>34</v>
      </c>
      <c r="AQ115" s="4" t="s">
        <v>35</v>
      </c>
      <c r="AR115" s="4" t="s">
        <v>36</v>
      </c>
    </row>
    <row r="116" spans="1:44" x14ac:dyDescent="0.2">
      <c r="A116" s="8" t="s">
        <v>46</v>
      </c>
      <c r="B116" s="8" t="s">
        <v>47</v>
      </c>
      <c r="C116" s="8" t="s">
        <v>48</v>
      </c>
      <c r="D116" s="8" t="s">
        <v>49</v>
      </c>
      <c r="E116" s="8" t="s">
        <v>962</v>
      </c>
      <c r="F116" s="5">
        <v>491</v>
      </c>
      <c r="G116" s="5"/>
      <c r="H116" s="12"/>
      <c r="I116" s="5" t="s">
        <v>786</v>
      </c>
      <c r="J116" s="5" t="s">
        <v>786</v>
      </c>
      <c r="K116" s="5">
        <v>694</v>
      </c>
      <c r="L116" s="5">
        <v>289</v>
      </c>
      <c r="M116" s="6" t="s">
        <v>776</v>
      </c>
      <c r="N116" s="6">
        <v>0.17</v>
      </c>
      <c r="O116" s="8" t="s">
        <v>24</v>
      </c>
      <c r="P116" s="8" t="s">
        <v>25</v>
      </c>
      <c r="Q116" s="8" t="s">
        <v>779</v>
      </c>
      <c r="R116" s="8" t="s">
        <v>25</v>
      </c>
      <c r="S116" s="8">
        <v>4</v>
      </c>
      <c r="T116" s="8">
        <v>4</v>
      </c>
      <c r="U116" s="8">
        <v>432</v>
      </c>
      <c r="V116" s="8">
        <v>475</v>
      </c>
      <c r="W116" s="8">
        <f t="shared" si="6"/>
        <v>575</v>
      </c>
      <c r="X116" s="4" t="s">
        <v>766</v>
      </c>
      <c r="Y116" s="4" t="s">
        <v>766</v>
      </c>
      <c r="Z116" s="4" t="s">
        <v>768</v>
      </c>
      <c r="AA116" s="4">
        <v>4</v>
      </c>
      <c r="AB116" s="7">
        <v>32.5</v>
      </c>
      <c r="AC116" s="7">
        <f t="shared" si="7"/>
        <v>0.26859504132231404</v>
      </c>
      <c r="AD116" s="7">
        <v>121</v>
      </c>
      <c r="AE116" s="9">
        <v>46031</v>
      </c>
      <c r="AF116" s="9">
        <v>46031</v>
      </c>
      <c r="AG116" s="10">
        <v>0.59655092592592596</v>
      </c>
      <c r="AH116" s="4" t="s">
        <v>26</v>
      </c>
      <c r="AI116" s="4" t="s">
        <v>27</v>
      </c>
      <c r="AJ116" s="4" t="s">
        <v>28</v>
      </c>
      <c r="AK116" s="4" t="s">
        <v>29</v>
      </c>
      <c r="AL116" s="4" t="s">
        <v>30</v>
      </c>
      <c r="AM116" s="4" t="s">
        <v>31</v>
      </c>
      <c r="AN116" s="4" t="s">
        <v>32</v>
      </c>
      <c r="AO116" s="4" t="s">
        <v>33</v>
      </c>
      <c r="AP116" s="4" t="s">
        <v>34</v>
      </c>
      <c r="AQ116" s="4" t="s">
        <v>35</v>
      </c>
      <c r="AR116" s="4" t="s">
        <v>36</v>
      </c>
    </row>
    <row r="117" spans="1:44" x14ac:dyDescent="0.2">
      <c r="A117" s="8" t="s">
        <v>50</v>
      </c>
      <c r="B117" s="8" t="s">
        <v>51</v>
      </c>
      <c r="C117" s="8" t="s">
        <v>52</v>
      </c>
      <c r="D117" s="8" t="s">
        <v>53</v>
      </c>
      <c r="E117" s="8" t="s">
        <v>962</v>
      </c>
      <c r="F117" s="5">
        <v>625</v>
      </c>
      <c r="G117" s="5"/>
      <c r="H117" s="12"/>
      <c r="I117" s="5" t="s">
        <v>785</v>
      </c>
      <c r="J117" s="5" t="s">
        <v>785</v>
      </c>
      <c r="K117" s="5">
        <v>694</v>
      </c>
      <c r="L117" s="5">
        <v>289</v>
      </c>
      <c r="M117" s="6" t="s">
        <v>776</v>
      </c>
      <c r="N117" s="6">
        <v>0.17</v>
      </c>
      <c r="O117" s="8" t="s">
        <v>24</v>
      </c>
      <c r="P117" s="8" t="s">
        <v>25</v>
      </c>
      <c r="Q117" s="8" t="s">
        <v>779</v>
      </c>
      <c r="R117" s="8" t="s">
        <v>25</v>
      </c>
      <c r="S117" s="8">
        <v>4</v>
      </c>
      <c r="T117" s="8">
        <v>4</v>
      </c>
      <c r="U117" s="8">
        <v>562</v>
      </c>
      <c r="V117" s="8">
        <v>596</v>
      </c>
      <c r="W117" s="8">
        <f t="shared" si="6"/>
        <v>696</v>
      </c>
      <c r="X117" s="4" t="s">
        <v>766</v>
      </c>
      <c r="Y117" s="4" t="s">
        <v>773</v>
      </c>
      <c r="Z117" s="4" t="s">
        <v>768</v>
      </c>
      <c r="AA117" s="4">
        <v>4</v>
      </c>
      <c r="AB117" s="7">
        <v>32.5</v>
      </c>
      <c r="AC117" s="7">
        <f t="shared" si="7"/>
        <v>0.26859504132231404</v>
      </c>
      <c r="AD117" s="7">
        <v>121</v>
      </c>
      <c r="AE117" s="9">
        <v>46031</v>
      </c>
      <c r="AF117" s="9">
        <v>46031</v>
      </c>
      <c r="AG117" s="10">
        <v>0.59607638888888892</v>
      </c>
      <c r="AH117" s="4" t="s">
        <v>26</v>
      </c>
      <c r="AI117" s="4" t="s">
        <v>27</v>
      </c>
      <c r="AJ117" s="4" t="s">
        <v>28</v>
      </c>
      <c r="AK117" s="4" t="s">
        <v>29</v>
      </c>
      <c r="AL117" s="4" t="s">
        <v>30</v>
      </c>
      <c r="AM117" s="4" t="s">
        <v>31</v>
      </c>
      <c r="AN117" s="4" t="s">
        <v>32</v>
      </c>
      <c r="AO117" s="4" t="s">
        <v>33</v>
      </c>
      <c r="AP117" s="4" t="s">
        <v>34</v>
      </c>
      <c r="AQ117" s="4" t="s">
        <v>35</v>
      </c>
      <c r="AR117" s="4" t="s">
        <v>36</v>
      </c>
    </row>
    <row r="118" spans="1:44" x14ac:dyDescent="0.2">
      <c r="A118" s="8" t="s">
        <v>144</v>
      </c>
      <c r="B118" s="8" t="s">
        <v>145</v>
      </c>
      <c r="C118" s="8" t="s">
        <v>146</v>
      </c>
      <c r="D118" s="8" t="s">
        <v>147</v>
      </c>
      <c r="E118" s="8" t="s">
        <v>962</v>
      </c>
      <c r="F118" s="5">
        <v>389</v>
      </c>
      <c r="G118" s="5"/>
      <c r="H118" s="12"/>
      <c r="I118" s="5" t="s">
        <v>785</v>
      </c>
      <c r="J118" s="5" t="s">
        <v>785</v>
      </c>
      <c r="K118" s="5">
        <v>700</v>
      </c>
      <c r="L118" s="5">
        <v>292</v>
      </c>
      <c r="M118" s="6" t="s">
        <v>776</v>
      </c>
      <c r="N118" s="6">
        <v>0.08</v>
      </c>
      <c r="O118" s="8" t="s">
        <v>24</v>
      </c>
      <c r="P118" s="8" t="s">
        <v>41</v>
      </c>
      <c r="Q118" s="8" t="s">
        <v>780</v>
      </c>
      <c r="R118" s="8" t="s">
        <v>41</v>
      </c>
      <c r="S118" s="8">
        <v>6</v>
      </c>
      <c r="T118" s="8">
        <v>6</v>
      </c>
      <c r="U118" s="8">
        <v>315</v>
      </c>
      <c r="V118" s="8">
        <v>363</v>
      </c>
      <c r="W118" s="8">
        <f t="shared" si="6"/>
        <v>463</v>
      </c>
      <c r="X118" s="4" t="s">
        <v>766</v>
      </c>
      <c r="Y118" s="4"/>
      <c r="Z118" s="4" t="s">
        <v>768</v>
      </c>
      <c r="AA118" s="4">
        <v>4</v>
      </c>
      <c r="AB118" s="7">
        <v>32.5</v>
      </c>
      <c r="AC118" s="7">
        <f t="shared" si="7"/>
        <v>0.26859504132231404</v>
      </c>
      <c r="AD118" s="7">
        <v>121</v>
      </c>
      <c r="AE118" s="9">
        <v>46031</v>
      </c>
      <c r="AF118" s="9">
        <v>46031</v>
      </c>
      <c r="AG118" s="10">
        <v>0.61549768518518522</v>
      </c>
      <c r="AH118" s="4" t="s">
        <v>26</v>
      </c>
      <c r="AI118" s="4" t="s">
        <v>27</v>
      </c>
      <c r="AJ118" s="4" t="s">
        <v>28</v>
      </c>
      <c r="AK118" s="4" t="s">
        <v>29</v>
      </c>
      <c r="AL118" s="4" t="s">
        <v>30</v>
      </c>
      <c r="AM118" s="4" t="s">
        <v>31</v>
      </c>
      <c r="AN118" s="4" t="s">
        <v>32</v>
      </c>
      <c r="AO118" s="4" t="s">
        <v>33</v>
      </c>
      <c r="AP118" s="4" t="s">
        <v>34</v>
      </c>
      <c r="AQ118" s="4" t="s">
        <v>35</v>
      </c>
      <c r="AR118" s="4" t="s">
        <v>36</v>
      </c>
    </row>
    <row r="119" spans="1:44" x14ac:dyDescent="0.2">
      <c r="A119" s="8" t="s">
        <v>189</v>
      </c>
      <c r="B119" s="8" t="s">
        <v>190</v>
      </c>
      <c r="C119" s="8" t="s">
        <v>191</v>
      </c>
      <c r="D119" s="8" t="s">
        <v>192</v>
      </c>
      <c r="E119" s="8" t="s">
        <v>962</v>
      </c>
      <c r="F119" s="14"/>
      <c r="G119" s="14"/>
      <c r="H119" s="15" t="s">
        <v>968</v>
      </c>
      <c r="I119" s="5" t="s">
        <v>785</v>
      </c>
      <c r="J119" s="5" t="s">
        <v>785</v>
      </c>
      <c r="K119" s="5">
        <v>1478</v>
      </c>
      <c r="L119" s="5">
        <v>412</v>
      </c>
      <c r="M119" s="6" t="s">
        <v>776</v>
      </c>
      <c r="N119" s="6">
        <v>0.6</v>
      </c>
      <c r="O119" s="8" t="s">
        <v>24</v>
      </c>
      <c r="P119" s="8" t="s">
        <v>41</v>
      </c>
      <c r="Q119" s="8" t="s">
        <v>780</v>
      </c>
      <c r="R119" s="8" t="s">
        <v>41</v>
      </c>
      <c r="S119" s="8">
        <v>2</v>
      </c>
      <c r="T119" s="8">
        <v>2</v>
      </c>
      <c r="U119" s="8">
        <v>470</v>
      </c>
      <c r="V119" s="8">
        <v>518</v>
      </c>
      <c r="W119" s="8">
        <f t="shared" si="6"/>
        <v>618</v>
      </c>
      <c r="X119" s="4" t="s">
        <v>767</v>
      </c>
      <c r="Y119" s="4" t="s">
        <v>767</v>
      </c>
      <c r="Z119" s="4" t="s">
        <v>768</v>
      </c>
      <c r="AA119" s="4">
        <v>5</v>
      </c>
      <c r="AB119" s="7">
        <v>32.5</v>
      </c>
      <c r="AC119" s="7">
        <f t="shared" si="7"/>
        <v>0.30089806499398203</v>
      </c>
      <c r="AD119" s="7">
        <v>108.01</v>
      </c>
      <c r="AE119" s="9">
        <v>46031</v>
      </c>
      <c r="AF119" s="9">
        <v>46031</v>
      </c>
      <c r="AG119" s="10">
        <v>0.6088541666666667</v>
      </c>
      <c r="AH119" s="4" t="s">
        <v>188</v>
      </c>
      <c r="AI119" s="4" t="s">
        <v>27</v>
      </c>
      <c r="AJ119" s="4" t="s">
        <v>28</v>
      </c>
      <c r="AK119" s="4" t="s">
        <v>29</v>
      </c>
      <c r="AL119" s="4" t="s">
        <v>30</v>
      </c>
      <c r="AM119" s="4" t="s">
        <v>31</v>
      </c>
      <c r="AN119" s="4" t="s">
        <v>32</v>
      </c>
      <c r="AO119" s="4" t="s">
        <v>33</v>
      </c>
      <c r="AP119" s="4" t="s">
        <v>34</v>
      </c>
      <c r="AQ119" s="4" t="s">
        <v>35</v>
      </c>
      <c r="AR119" s="4" t="s">
        <v>36</v>
      </c>
    </row>
    <row r="120" spans="1:44" x14ac:dyDescent="0.2">
      <c r="A120" s="8" t="s">
        <v>193</v>
      </c>
      <c r="B120" s="8" t="s">
        <v>194</v>
      </c>
      <c r="C120" s="8" t="s">
        <v>195</v>
      </c>
      <c r="D120" s="8" t="s">
        <v>196</v>
      </c>
      <c r="E120" s="8" t="s">
        <v>962</v>
      </c>
      <c r="F120" s="5">
        <v>544</v>
      </c>
      <c r="G120" s="5"/>
      <c r="H120" s="12"/>
      <c r="I120" s="5" t="s">
        <v>785</v>
      </c>
      <c r="J120" s="5" t="s">
        <v>785</v>
      </c>
      <c r="K120" s="5">
        <v>1478</v>
      </c>
      <c r="L120" s="5">
        <v>412</v>
      </c>
      <c r="M120" s="6" t="s">
        <v>776</v>
      </c>
      <c r="N120" s="6">
        <v>0.13700000000000001</v>
      </c>
      <c r="O120" s="8" t="s">
        <v>24</v>
      </c>
      <c r="P120" s="8" t="s">
        <v>41</v>
      </c>
      <c r="Q120" s="8" t="s">
        <v>780</v>
      </c>
      <c r="R120" s="8" t="s">
        <v>41</v>
      </c>
      <c r="S120" s="8">
        <v>2</v>
      </c>
      <c r="T120" s="8">
        <v>2</v>
      </c>
      <c r="U120" s="8">
        <v>494</v>
      </c>
      <c r="V120" s="8">
        <v>534</v>
      </c>
      <c r="W120" s="8">
        <f t="shared" si="6"/>
        <v>634</v>
      </c>
      <c r="X120" s="4" t="s">
        <v>767</v>
      </c>
      <c r="Y120" s="4" t="s">
        <v>767</v>
      </c>
      <c r="Z120" s="4" t="s">
        <v>768</v>
      </c>
      <c r="AA120" s="4">
        <v>5</v>
      </c>
      <c r="AB120" s="7">
        <v>32.5</v>
      </c>
      <c r="AC120" s="7">
        <f t="shared" si="7"/>
        <v>0.30089806499398203</v>
      </c>
      <c r="AD120" s="7">
        <v>108.01</v>
      </c>
      <c r="AE120" s="9">
        <v>46031</v>
      </c>
      <c r="AF120" s="9">
        <v>46031</v>
      </c>
      <c r="AG120" s="10">
        <v>0.60872685185185182</v>
      </c>
      <c r="AH120" s="4" t="s">
        <v>188</v>
      </c>
      <c r="AI120" s="4" t="s">
        <v>27</v>
      </c>
      <c r="AJ120" s="4" t="s">
        <v>28</v>
      </c>
      <c r="AK120" s="4" t="s">
        <v>29</v>
      </c>
      <c r="AL120" s="4" t="s">
        <v>30</v>
      </c>
      <c r="AM120" s="4" t="s">
        <v>31</v>
      </c>
      <c r="AN120" s="4" t="s">
        <v>32</v>
      </c>
      <c r="AO120" s="4" t="s">
        <v>33</v>
      </c>
      <c r="AP120" s="4" t="s">
        <v>34</v>
      </c>
      <c r="AQ120" s="4" t="s">
        <v>35</v>
      </c>
      <c r="AR120" s="4" t="s">
        <v>36</v>
      </c>
    </row>
    <row r="121" spans="1:44" x14ac:dyDescent="0.2">
      <c r="A121" s="8" t="s">
        <v>197</v>
      </c>
      <c r="B121" s="8" t="s">
        <v>198</v>
      </c>
      <c r="C121" s="8" t="s">
        <v>199</v>
      </c>
      <c r="D121" s="8" t="s">
        <v>200</v>
      </c>
      <c r="E121" s="8" t="s">
        <v>962</v>
      </c>
      <c r="F121" s="5">
        <v>602</v>
      </c>
      <c r="G121" s="5"/>
      <c r="H121" s="12"/>
      <c r="I121" s="5" t="s">
        <v>785</v>
      </c>
      <c r="J121" s="5" t="s">
        <v>785</v>
      </c>
      <c r="K121" s="5">
        <v>1478</v>
      </c>
      <c r="L121" s="5">
        <v>412</v>
      </c>
      <c r="M121" s="6" t="s">
        <v>776</v>
      </c>
      <c r="N121" s="6">
        <v>0.05</v>
      </c>
      <c r="O121" s="8" t="s">
        <v>24</v>
      </c>
      <c r="P121" s="8" t="s">
        <v>41</v>
      </c>
      <c r="Q121" s="8" t="s">
        <v>780</v>
      </c>
      <c r="R121" s="8" t="s">
        <v>41</v>
      </c>
      <c r="S121" s="8">
        <v>2</v>
      </c>
      <c r="T121" s="8">
        <v>2</v>
      </c>
      <c r="U121" s="8">
        <v>556</v>
      </c>
      <c r="V121" s="8">
        <v>580</v>
      </c>
      <c r="W121" s="8">
        <f t="shared" si="6"/>
        <v>680</v>
      </c>
      <c r="X121" s="4" t="s">
        <v>767</v>
      </c>
      <c r="Y121" s="4" t="s">
        <v>767</v>
      </c>
      <c r="Z121" s="4" t="s">
        <v>768</v>
      </c>
      <c r="AA121" s="4">
        <v>5</v>
      </c>
      <c r="AB121" s="7">
        <v>32.5</v>
      </c>
      <c r="AC121" s="7">
        <f t="shared" si="7"/>
        <v>0.30089806499398203</v>
      </c>
      <c r="AD121" s="7">
        <v>108.01</v>
      </c>
      <c r="AE121" s="9">
        <v>46031</v>
      </c>
      <c r="AF121" s="9">
        <v>46031</v>
      </c>
      <c r="AG121" s="10">
        <v>0.60827546296296298</v>
      </c>
      <c r="AH121" s="4" t="s">
        <v>188</v>
      </c>
      <c r="AI121" s="4" t="s">
        <v>27</v>
      </c>
      <c r="AJ121" s="4" t="s">
        <v>28</v>
      </c>
      <c r="AK121" s="4" t="s">
        <v>29</v>
      </c>
      <c r="AL121" s="4" t="s">
        <v>30</v>
      </c>
      <c r="AM121" s="4" t="s">
        <v>31</v>
      </c>
      <c r="AN121" s="4" t="s">
        <v>32</v>
      </c>
      <c r="AO121" s="4" t="s">
        <v>33</v>
      </c>
      <c r="AP121" s="4" t="s">
        <v>34</v>
      </c>
      <c r="AQ121" s="4" t="s">
        <v>35</v>
      </c>
      <c r="AR121" s="4" t="s">
        <v>36</v>
      </c>
    </row>
    <row r="122" spans="1:44" x14ac:dyDescent="0.2">
      <c r="A122" s="8" t="s">
        <v>201</v>
      </c>
      <c r="B122" s="8" t="s">
        <v>202</v>
      </c>
      <c r="C122" s="8" t="s">
        <v>203</v>
      </c>
      <c r="D122" s="8" t="s">
        <v>204</v>
      </c>
      <c r="E122" s="8" t="s">
        <v>962</v>
      </c>
      <c r="F122" s="5">
        <v>513</v>
      </c>
      <c r="G122" s="5"/>
      <c r="H122" s="12"/>
      <c r="I122" s="5" t="s">
        <v>785</v>
      </c>
      <c r="J122" s="5" t="s">
        <v>785</v>
      </c>
      <c r="K122" s="5">
        <v>1478</v>
      </c>
      <c r="L122" s="5">
        <v>412</v>
      </c>
      <c r="M122" s="6" t="s">
        <v>776</v>
      </c>
      <c r="N122" s="6">
        <v>0.16</v>
      </c>
      <c r="O122" s="8" t="s">
        <v>24</v>
      </c>
      <c r="P122" s="8" t="s">
        <v>41</v>
      </c>
      <c r="Q122" s="8" t="s">
        <v>780</v>
      </c>
      <c r="R122" s="8" t="s">
        <v>41</v>
      </c>
      <c r="S122" s="8">
        <v>2</v>
      </c>
      <c r="T122" s="8">
        <v>2</v>
      </c>
      <c r="U122" s="8">
        <v>278</v>
      </c>
      <c r="V122" s="8">
        <v>498</v>
      </c>
      <c r="W122" s="8">
        <f t="shared" si="6"/>
        <v>598</v>
      </c>
      <c r="X122" s="4" t="s">
        <v>767</v>
      </c>
      <c r="Y122" s="4" t="s">
        <v>767</v>
      </c>
      <c r="Z122" s="4" t="s">
        <v>768</v>
      </c>
      <c r="AA122" s="4">
        <v>5</v>
      </c>
      <c r="AB122" s="7">
        <v>32.5</v>
      </c>
      <c r="AC122" s="7">
        <f t="shared" si="7"/>
        <v>0.30089806499398203</v>
      </c>
      <c r="AD122" s="7">
        <v>108.01</v>
      </c>
      <c r="AE122" s="9">
        <v>46031</v>
      </c>
      <c r="AF122" s="9">
        <v>46031</v>
      </c>
      <c r="AG122" s="10">
        <v>0.60755787037037035</v>
      </c>
      <c r="AH122" s="4" t="s">
        <v>188</v>
      </c>
      <c r="AI122" s="4" t="s">
        <v>27</v>
      </c>
      <c r="AJ122" s="4" t="s">
        <v>28</v>
      </c>
      <c r="AK122" s="4" t="s">
        <v>29</v>
      </c>
      <c r="AL122" s="4" t="s">
        <v>30</v>
      </c>
      <c r="AM122" s="4" t="s">
        <v>31</v>
      </c>
      <c r="AN122" s="4" t="s">
        <v>32</v>
      </c>
      <c r="AO122" s="4" t="s">
        <v>33</v>
      </c>
      <c r="AP122" s="4" t="s">
        <v>34</v>
      </c>
      <c r="AQ122" s="4" t="s">
        <v>35</v>
      </c>
      <c r="AR122" s="4" t="s">
        <v>36</v>
      </c>
    </row>
    <row r="123" spans="1:44" x14ac:dyDescent="0.2">
      <c r="A123" s="8" t="s">
        <v>205</v>
      </c>
      <c r="B123" s="8" t="s">
        <v>206</v>
      </c>
      <c r="C123" s="8" t="s">
        <v>207</v>
      </c>
      <c r="D123" s="8" t="s">
        <v>208</v>
      </c>
      <c r="E123" s="8" t="s">
        <v>962</v>
      </c>
      <c r="F123" s="5">
        <v>490</v>
      </c>
      <c r="G123" s="5"/>
      <c r="H123" s="12"/>
      <c r="I123" s="5" t="s">
        <v>786</v>
      </c>
      <c r="J123" s="5" t="s">
        <v>786</v>
      </c>
      <c r="K123" s="5">
        <v>1478</v>
      </c>
      <c r="L123" s="5">
        <v>412</v>
      </c>
      <c r="M123" s="6" t="s">
        <v>776</v>
      </c>
      <c r="N123" s="6">
        <v>0.14099999999999999</v>
      </c>
      <c r="O123" s="8" t="s">
        <v>24</v>
      </c>
      <c r="P123" s="8" t="s">
        <v>41</v>
      </c>
      <c r="Q123" s="8" t="s">
        <v>780</v>
      </c>
      <c r="R123" s="8" t="s">
        <v>41</v>
      </c>
      <c r="S123" s="8">
        <v>2</v>
      </c>
      <c r="T123" s="8">
        <v>2</v>
      </c>
      <c r="U123" s="8">
        <v>456</v>
      </c>
      <c r="V123" s="8">
        <v>475</v>
      </c>
      <c r="W123" s="8">
        <f t="shared" si="6"/>
        <v>575</v>
      </c>
      <c r="X123" s="4" t="s">
        <v>767</v>
      </c>
      <c r="Y123" s="4"/>
      <c r="Z123" s="4" t="s">
        <v>768</v>
      </c>
      <c r="AA123" s="4">
        <v>5</v>
      </c>
      <c r="AB123" s="7">
        <v>32.5</v>
      </c>
      <c r="AC123" s="7">
        <f t="shared" si="7"/>
        <v>0.30089806499398203</v>
      </c>
      <c r="AD123" s="7">
        <v>108.01</v>
      </c>
      <c r="AE123" s="9">
        <v>46031</v>
      </c>
      <c r="AF123" s="9">
        <v>46031</v>
      </c>
      <c r="AG123" s="10">
        <v>0.60936342592592596</v>
      </c>
      <c r="AH123" s="4" t="s">
        <v>188</v>
      </c>
      <c r="AI123" s="4" t="s">
        <v>27</v>
      </c>
      <c r="AJ123" s="4" t="s">
        <v>28</v>
      </c>
      <c r="AK123" s="4" t="s">
        <v>29</v>
      </c>
      <c r="AL123" s="4" t="s">
        <v>30</v>
      </c>
      <c r="AM123" s="4" t="s">
        <v>31</v>
      </c>
      <c r="AN123" s="4" t="s">
        <v>32</v>
      </c>
      <c r="AO123" s="4" t="s">
        <v>33</v>
      </c>
      <c r="AP123" s="4" t="s">
        <v>34</v>
      </c>
      <c r="AQ123" s="4" t="s">
        <v>35</v>
      </c>
      <c r="AR123" s="4" t="s">
        <v>36</v>
      </c>
    </row>
    <row r="124" spans="1:44" x14ac:dyDescent="0.2">
      <c r="A124" s="8" t="s">
        <v>317</v>
      </c>
      <c r="B124" s="8" t="s">
        <v>318</v>
      </c>
      <c r="C124" s="8" t="s">
        <v>319</v>
      </c>
      <c r="D124" s="8" t="s">
        <v>320</v>
      </c>
      <c r="E124" s="8" t="s">
        <v>962</v>
      </c>
      <c r="F124" s="5">
        <v>622</v>
      </c>
      <c r="G124" s="5"/>
      <c r="H124" s="12"/>
      <c r="I124" s="5" t="s">
        <v>785</v>
      </c>
      <c r="J124" s="5" t="s">
        <v>785</v>
      </c>
      <c r="K124" s="5">
        <v>1488</v>
      </c>
      <c r="L124" s="5">
        <v>401</v>
      </c>
      <c r="M124" s="6" t="s">
        <v>776</v>
      </c>
      <c r="N124" s="6">
        <v>0.248</v>
      </c>
      <c r="O124" s="8" t="s">
        <v>24</v>
      </c>
      <c r="P124" s="8" t="s">
        <v>25</v>
      </c>
      <c r="Q124" s="8" t="s">
        <v>779</v>
      </c>
      <c r="R124" s="8" t="s">
        <v>25</v>
      </c>
      <c r="S124" s="8">
        <v>3</v>
      </c>
      <c r="T124" s="8">
        <v>3</v>
      </c>
      <c r="U124" s="8">
        <v>572</v>
      </c>
      <c r="V124" s="8">
        <v>600</v>
      </c>
      <c r="W124" s="8">
        <f t="shared" si="6"/>
        <v>700</v>
      </c>
      <c r="X124" s="4" t="s">
        <v>767</v>
      </c>
      <c r="Y124" s="4"/>
      <c r="Z124" s="4" t="s">
        <v>768</v>
      </c>
      <c r="AA124" s="4">
        <v>5</v>
      </c>
      <c r="AB124" s="7">
        <v>32.5</v>
      </c>
      <c r="AC124" s="7">
        <f t="shared" si="7"/>
        <v>0.30089806499398203</v>
      </c>
      <c r="AD124" s="7">
        <v>108.01</v>
      </c>
      <c r="AE124" s="9">
        <v>46031</v>
      </c>
      <c r="AF124" s="9">
        <v>46031</v>
      </c>
      <c r="AG124" s="10">
        <v>0.59283564814814815</v>
      </c>
      <c r="AH124" s="4" t="s">
        <v>188</v>
      </c>
      <c r="AI124" s="4" t="s">
        <v>27</v>
      </c>
      <c r="AJ124" s="4" t="s">
        <v>28</v>
      </c>
      <c r="AK124" s="4" t="s">
        <v>29</v>
      </c>
      <c r="AL124" s="4" t="s">
        <v>30</v>
      </c>
      <c r="AM124" s="4" t="s">
        <v>31</v>
      </c>
      <c r="AN124" s="4" t="s">
        <v>32</v>
      </c>
      <c r="AO124" s="4" t="s">
        <v>33</v>
      </c>
      <c r="AP124" s="4" t="s">
        <v>34</v>
      </c>
      <c r="AQ124" s="4" t="s">
        <v>35</v>
      </c>
      <c r="AR124" s="4" t="s">
        <v>36</v>
      </c>
    </row>
    <row r="125" spans="1:44" x14ac:dyDescent="0.2">
      <c r="A125" s="8" t="s">
        <v>289</v>
      </c>
      <c r="B125" s="8" t="s">
        <v>290</v>
      </c>
      <c r="C125" s="8" t="s">
        <v>291</v>
      </c>
      <c r="D125" s="8" t="s">
        <v>292</v>
      </c>
      <c r="E125" s="8" t="s">
        <v>962</v>
      </c>
      <c r="F125" s="5">
        <v>541</v>
      </c>
      <c r="G125" s="5"/>
      <c r="H125" s="12"/>
      <c r="I125" s="5" t="s">
        <v>785</v>
      </c>
      <c r="J125" s="5" t="s">
        <v>785</v>
      </c>
      <c r="K125" s="5">
        <v>1488</v>
      </c>
      <c r="L125" s="5">
        <v>408</v>
      </c>
      <c r="M125" s="6" t="s">
        <v>776</v>
      </c>
      <c r="N125" s="6">
        <v>6.7000000000000004E-2</v>
      </c>
      <c r="O125" s="8" t="s">
        <v>24</v>
      </c>
      <c r="P125" s="8" t="s">
        <v>25</v>
      </c>
      <c r="Q125" s="8" t="s">
        <v>779</v>
      </c>
      <c r="R125" s="8" t="s">
        <v>25</v>
      </c>
      <c r="S125" s="8">
        <v>3</v>
      </c>
      <c r="T125" s="8">
        <v>3</v>
      </c>
      <c r="U125" s="8">
        <v>468</v>
      </c>
      <c r="V125" s="8">
        <v>528</v>
      </c>
      <c r="W125" s="8">
        <f t="shared" si="6"/>
        <v>628</v>
      </c>
      <c r="X125" s="4" t="s">
        <v>767</v>
      </c>
      <c r="Y125" s="4" t="s">
        <v>767</v>
      </c>
      <c r="Z125" s="4" t="s">
        <v>768</v>
      </c>
      <c r="AA125" s="4">
        <v>5</v>
      </c>
      <c r="AB125" s="7">
        <v>32.5</v>
      </c>
      <c r="AC125" s="7">
        <f t="shared" si="7"/>
        <v>0.30089806499398203</v>
      </c>
      <c r="AD125" s="7">
        <v>108.01</v>
      </c>
      <c r="AE125" s="9">
        <v>46031</v>
      </c>
      <c r="AF125" s="9">
        <v>46031</v>
      </c>
      <c r="AG125" s="10">
        <v>0.59420138888888885</v>
      </c>
      <c r="AH125" s="4" t="s">
        <v>188</v>
      </c>
      <c r="AI125" s="4" t="s">
        <v>27</v>
      </c>
      <c r="AJ125" s="4" t="s">
        <v>28</v>
      </c>
      <c r="AK125" s="4" t="s">
        <v>29</v>
      </c>
      <c r="AL125" s="4" t="s">
        <v>30</v>
      </c>
      <c r="AM125" s="4" t="s">
        <v>31</v>
      </c>
      <c r="AN125" s="4" t="s">
        <v>32</v>
      </c>
      <c r="AO125" s="4" t="s">
        <v>33</v>
      </c>
      <c r="AP125" s="4" t="s">
        <v>34</v>
      </c>
      <c r="AQ125" s="4" t="s">
        <v>35</v>
      </c>
      <c r="AR125" s="4" t="s">
        <v>36</v>
      </c>
    </row>
    <row r="126" spans="1:44" x14ac:dyDescent="0.2">
      <c r="A126" s="8" t="s">
        <v>313</v>
      </c>
      <c r="B126" s="8" t="s">
        <v>314</v>
      </c>
      <c r="C126" s="8" t="s">
        <v>315</v>
      </c>
      <c r="D126" s="8" t="s">
        <v>316</v>
      </c>
      <c r="E126" s="8" t="s">
        <v>962</v>
      </c>
      <c r="F126" s="5">
        <v>670</v>
      </c>
      <c r="G126" s="5"/>
      <c r="H126" s="12"/>
      <c r="I126" s="5" t="s">
        <v>785</v>
      </c>
      <c r="J126" s="5" t="s">
        <v>785</v>
      </c>
      <c r="K126" s="5">
        <v>1488</v>
      </c>
      <c r="L126" s="5">
        <v>401</v>
      </c>
      <c r="M126" s="6" t="s">
        <v>776</v>
      </c>
      <c r="N126" s="6">
        <v>5.6000000000000001E-2</v>
      </c>
      <c r="O126" s="8" t="s">
        <v>24</v>
      </c>
      <c r="P126" s="8" t="s">
        <v>25</v>
      </c>
      <c r="Q126" s="8" t="s">
        <v>779</v>
      </c>
      <c r="R126" s="8" t="s">
        <v>25</v>
      </c>
      <c r="S126" s="8">
        <v>3</v>
      </c>
      <c r="T126" s="8">
        <v>3</v>
      </c>
      <c r="U126" s="8">
        <v>276</v>
      </c>
      <c r="V126" s="8">
        <v>320</v>
      </c>
      <c r="W126" s="8">
        <f t="shared" si="6"/>
        <v>420</v>
      </c>
      <c r="X126" s="4" t="s">
        <v>767</v>
      </c>
      <c r="Y126" s="4" t="s">
        <v>767</v>
      </c>
      <c r="Z126" s="4" t="s">
        <v>768</v>
      </c>
      <c r="AA126" s="4">
        <v>5</v>
      </c>
      <c r="AB126" s="7">
        <v>32.5</v>
      </c>
      <c r="AC126" s="7">
        <f t="shared" si="7"/>
        <v>0.30089806499398203</v>
      </c>
      <c r="AD126" s="7">
        <v>108.01</v>
      </c>
      <c r="AE126" s="9">
        <v>46031</v>
      </c>
      <c r="AF126" s="9">
        <v>46031</v>
      </c>
      <c r="AG126" s="10">
        <v>0.59320601851851851</v>
      </c>
      <c r="AH126" s="4" t="s">
        <v>188</v>
      </c>
      <c r="AI126" s="4" t="s">
        <v>27</v>
      </c>
      <c r="AJ126" s="4" t="s">
        <v>28</v>
      </c>
      <c r="AK126" s="4" t="s">
        <v>29</v>
      </c>
      <c r="AL126" s="4" t="s">
        <v>30</v>
      </c>
      <c r="AM126" s="4" t="s">
        <v>31</v>
      </c>
      <c r="AN126" s="4" t="s">
        <v>32</v>
      </c>
      <c r="AO126" s="4" t="s">
        <v>33</v>
      </c>
      <c r="AP126" s="4" t="s">
        <v>34</v>
      </c>
      <c r="AQ126" s="4" t="s">
        <v>35</v>
      </c>
      <c r="AR126" s="4" t="s">
        <v>36</v>
      </c>
    </row>
    <row r="127" spans="1:44" x14ac:dyDescent="0.2">
      <c r="A127" s="8" t="s">
        <v>321</v>
      </c>
      <c r="B127" s="8" t="s">
        <v>322</v>
      </c>
      <c r="C127" s="8" t="s">
        <v>323</v>
      </c>
      <c r="D127" s="8" t="s">
        <v>324</v>
      </c>
      <c r="E127" s="8" t="s">
        <v>962</v>
      </c>
      <c r="F127" s="5">
        <v>578</v>
      </c>
      <c r="G127" s="5"/>
      <c r="H127" s="12"/>
      <c r="I127" s="5" t="s">
        <v>786</v>
      </c>
      <c r="J127" s="5" t="s">
        <v>786</v>
      </c>
      <c r="K127" s="5">
        <v>1488</v>
      </c>
      <c r="L127" s="5">
        <v>401</v>
      </c>
      <c r="M127" s="6" t="s">
        <v>776</v>
      </c>
      <c r="N127" s="6">
        <v>0.13700000000000001</v>
      </c>
      <c r="O127" s="8" t="s">
        <v>24</v>
      </c>
      <c r="P127" s="8" t="s">
        <v>25</v>
      </c>
      <c r="Q127" s="8" t="s">
        <v>779</v>
      </c>
      <c r="R127" s="8" t="s">
        <v>25</v>
      </c>
      <c r="S127" s="8">
        <v>3</v>
      </c>
      <c r="T127" s="8">
        <v>3</v>
      </c>
      <c r="U127" s="8">
        <v>420</v>
      </c>
      <c r="V127" s="8">
        <v>552</v>
      </c>
      <c r="W127" s="8">
        <f t="shared" si="6"/>
        <v>652</v>
      </c>
      <c r="X127" s="4" t="s">
        <v>767</v>
      </c>
      <c r="Y127" s="4" t="s">
        <v>767</v>
      </c>
      <c r="Z127" s="4" t="s">
        <v>768</v>
      </c>
      <c r="AA127" s="4">
        <v>5</v>
      </c>
      <c r="AB127" s="7">
        <v>32.5</v>
      </c>
      <c r="AC127" s="7">
        <f t="shared" si="7"/>
        <v>0.30089806499398203</v>
      </c>
      <c r="AD127" s="7">
        <v>108.01</v>
      </c>
      <c r="AE127" s="9">
        <v>46031</v>
      </c>
      <c r="AF127" s="9">
        <v>46031</v>
      </c>
      <c r="AG127" s="10">
        <v>0.59244212962962961</v>
      </c>
      <c r="AH127" s="4" t="s">
        <v>188</v>
      </c>
      <c r="AI127" s="4" t="s">
        <v>27</v>
      </c>
      <c r="AJ127" s="4" t="s">
        <v>28</v>
      </c>
      <c r="AK127" s="4" t="s">
        <v>29</v>
      </c>
      <c r="AL127" s="4" t="s">
        <v>30</v>
      </c>
      <c r="AM127" s="4" t="s">
        <v>31</v>
      </c>
      <c r="AN127" s="4" t="s">
        <v>32</v>
      </c>
      <c r="AO127" s="4" t="s">
        <v>33</v>
      </c>
      <c r="AP127" s="4" t="s">
        <v>34</v>
      </c>
      <c r="AQ127" s="4" t="s">
        <v>35</v>
      </c>
      <c r="AR127" s="4" t="s">
        <v>36</v>
      </c>
    </row>
    <row r="128" spans="1:44" x14ac:dyDescent="0.2">
      <c r="A128" s="8" t="s">
        <v>365</v>
      </c>
      <c r="B128" s="8" t="s">
        <v>366</v>
      </c>
      <c r="C128" s="8" t="s">
        <v>367</v>
      </c>
      <c r="D128" s="8" t="s">
        <v>368</v>
      </c>
      <c r="E128" s="8" t="s">
        <v>962</v>
      </c>
      <c r="F128" s="5">
        <v>587</v>
      </c>
      <c r="G128" s="5"/>
      <c r="H128" s="12"/>
      <c r="I128" s="5" t="s">
        <v>785</v>
      </c>
      <c r="J128" s="5" t="s">
        <v>785</v>
      </c>
      <c r="K128" s="5">
        <v>1488</v>
      </c>
      <c r="L128" s="5">
        <v>408</v>
      </c>
      <c r="M128" s="6" t="s">
        <v>776</v>
      </c>
      <c r="N128" s="6">
        <v>0.252</v>
      </c>
      <c r="O128" s="8" t="s">
        <v>24</v>
      </c>
      <c r="P128" s="8" t="s">
        <v>25</v>
      </c>
      <c r="Q128" s="8" t="s">
        <v>779</v>
      </c>
      <c r="R128" s="8" t="s">
        <v>25</v>
      </c>
      <c r="S128" s="8">
        <v>3</v>
      </c>
      <c r="T128" s="8">
        <v>3</v>
      </c>
      <c r="U128" s="8">
        <v>441</v>
      </c>
      <c r="V128" s="8">
        <v>554</v>
      </c>
      <c r="W128" s="8">
        <f t="shared" si="6"/>
        <v>654</v>
      </c>
      <c r="X128" s="4" t="s">
        <v>767</v>
      </c>
      <c r="Y128" s="4"/>
      <c r="Z128" s="4" t="s">
        <v>768</v>
      </c>
      <c r="AA128" s="4">
        <v>5</v>
      </c>
      <c r="AB128" s="7">
        <v>32.5</v>
      </c>
      <c r="AC128" s="7">
        <f t="shared" si="7"/>
        <v>0.30089806499398203</v>
      </c>
      <c r="AD128" s="7">
        <v>108.01</v>
      </c>
      <c r="AE128" s="9">
        <v>46031</v>
      </c>
      <c r="AF128" s="9">
        <v>46031</v>
      </c>
      <c r="AG128" s="10">
        <v>0.58929398148148149</v>
      </c>
      <c r="AH128" s="4" t="s">
        <v>188</v>
      </c>
      <c r="AI128" s="4" t="s">
        <v>27</v>
      </c>
      <c r="AJ128" s="4" t="s">
        <v>28</v>
      </c>
      <c r="AK128" s="4" t="s">
        <v>29</v>
      </c>
      <c r="AL128" s="4" t="s">
        <v>30</v>
      </c>
      <c r="AM128" s="4" t="s">
        <v>31</v>
      </c>
      <c r="AN128" s="4" t="s">
        <v>32</v>
      </c>
      <c r="AO128" s="4" t="s">
        <v>33</v>
      </c>
      <c r="AP128" s="4" t="s">
        <v>34</v>
      </c>
      <c r="AQ128" s="4" t="s">
        <v>35</v>
      </c>
      <c r="AR128" s="4" t="s">
        <v>36</v>
      </c>
    </row>
    <row r="129" spans="1:44" x14ac:dyDescent="0.2">
      <c r="A129" s="8" t="s">
        <v>369</v>
      </c>
      <c r="B129" s="8" t="s">
        <v>370</v>
      </c>
      <c r="C129" s="8" t="s">
        <v>371</v>
      </c>
      <c r="D129" s="8" t="s">
        <v>372</v>
      </c>
      <c r="E129" s="8" t="s">
        <v>962</v>
      </c>
      <c r="F129" s="5">
        <v>756</v>
      </c>
      <c r="G129" s="5"/>
      <c r="H129" s="12"/>
      <c r="I129" s="5" t="s">
        <v>785</v>
      </c>
      <c r="J129" s="5" t="s">
        <v>785</v>
      </c>
      <c r="K129" s="5">
        <v>1488</v>
      </c>
      <c r="L129" s="5">
        <v>401</v>
      </c>
      <c r="M129" s="6" t="s">
        <v>776</v>
      </c>
      <c r="N129" s="6">
        <v>0.14799999999999999</v>
      </c>
      <c r="O129" s="8" t="s">
        <v>24</v>
      </c>
      <c r="P129" s="8" t="s">
        <v>25</v>
      </c>
      <c r="Q129" s="8" t="s">
        <v>779</v>
      </c>
      <c r="R129" s="8" t="s">
        <v>25</v>
      </c>
      <c r="S129" s="8">
        <v>3</v>
      </c>
      <c r="T129" s="8">
        <v>3</v>
      </c>
      <c r="U129" s="8">
        <v>676</v>
      </c>
      <c r="V129" s="8">
        <v>729</v>
      </c>
      <c r="W129" s="8">
        <f t="shared" si="6"/>
        <v>829</v>
      </c>
      <c r="X129" s="4" t="s">
        <v>767</v>
      </c>
      <c r="Y129" s="4"/>
      <c r="Z129" s="4" t="s">
        <v>768</v>
      </c>
      <c r="AA129" s="4">
        <v>5</v>
      </c>
      <c r="AB129" s="7">
        <v>32.5</v>
      </c>
      <c r="AC129" s="7">
        <f t="shared" si="7"/>
        <v>0.30089806499398203</v>
      </c>
      <c r="AD129" s="7">
        <v>108.01</v>
      </c>
      <c r="AE129" s="9">
        <v>46031</v>
      </c>
      <c r="AF129" s="9">
        <v>46031</v>
      </c>
      <c r="AG129" s="10">
        <v>0.58953703703703708</v>
      </c>
      <c r="AH129" s="4" t="s">
        <v>188</v>
      </c>
      <c r="AI129" s="4" t="s">
        <v>27</v>
      </c>
      <c r="AJ129" s="4" t="s">
        <v>28</v>
      </c>
      <c r="AK129" s="4" t="s">
        <v>29</v>
      </c>
      <c r="AL129" s="4" t="s">
        <v>30</v>
      </c>
      <c r="AM129" s="4" t="s">
        <v>31</v>
      </c>
      <c r="AN129" s="4" t="s">
        <v>32</v>
      </c>
      <c r="AO129" s="4" t="s">
        <v>33</v>
      </c>
      <c r="AP129" s="4" t="s">
        <v>34</v>
      </c>
      <c r="AQ129" s="4" t="s">
        <v>35</v>
      </c>
      <c r="AR129" s="4" t="s">
        <v>36</v>
      </c>
    </row>
    <row r="130" spans="1:44" x14ac:dyDescent="0.2">
      <c r="A130" s="8" t="s">
        <v>373</v>
      </c>
      <c r="B130" s="8" t="s">
        <v>374</v>
      </c>
      <c r="C130" s="8" t="s">
        <v>375</v>
      </c>
      <c r="D130" s="8" t="s">
        <v>376</v>
      </c>
      <c r="E130" s="8" t="s">
        <v>962</v>
      </c>
      <c r="F130" s="5">
        <v>587</v>
      </c>
      <c r="G130" s="5"/>
      <c r="H130" s="12"/>
      <c r="I130" s="5" t="s">
        <v>785</v>
      </c>
      <c r="J130" s="5" t="s">
        <v>785</v>
      </c>
      <c r="K130" s="5">
        <v>1488</v>
      </c>
      <c r="L130" s="5">
        <v>401</v>
      </c>
      <c r="M130" s="6" t="s">
        <v>776</v>
      </c>
      <c r="N130" s="6">
        <v>0.314</v>
      </c>
      <c r="O130" s="8" t="s">
        <v>24</v>
      </c>
      <c r="P130" s="8" t="s">
        <v>25</v>
      </c>
      <c r="Q130" s="8" t="s">
        <v>779</v>
      </c>
      <c r="R130" s="8" t="s">
        <v>25</v>
      </c>
      <c r="S130" s="8">
        <v>3</v>
      </c>
      <c r="T130" s="8">
        <v>3</v>
      </c>
      <c r="U130" s="8">
        <v>460</v>
      </c>
      <c r="V130" s="8">
        <v>513</v>
      </c>
      <c r="W130" s="8">
        <f t="shared" ref="W130:W161" si="8">V130+100</f>
        <v>613</v>
      </c>
      <c r="X130" s="4" t="s">
        <v>767</v>
      </c>
      <c r="Y130" s="4"/>
      <c r="Z130" s="4" t="s">
        <v>768</v>
      </c>
      <c r="AA130" s="4">
        <v>5</v>
      </c>
      <c r="AB130" s="7">
        <v>32.5</v>
      </c>
      <c r="AC130" s="7">
        <f t="shared" ref="AC130:AC161" si="9">AB130/AD130</f>
        <v>0.30089806499398203</v>
      </c>
      <c r="AD130" s="7">
        <v>108.01</v>
      </c>
      <c r="AE130" s="9">
        <v>46031</v>
      </c>
      <c r="AF130" s="9">
        <v>46031</v>
      </c>
      <c r="AG130" s="10">
        <v>0.58972222222222226</v>
      </c>
      <c r="AH130" s="4" t="s">
        <v>188</v>
      </c>
      <c r="AI130" s="4" t="s">
        <v>27</v>
      </c>
      <c r="AJ130" s="4" t="s">
        <v>28</v>
      </c>
      <c r="AK130" s="4" t="s">
        <v>29</v>
      </c>
      <c r="AL130" s="4" t="s">
        <v>30</v>
      </c>
      <c r="AM130" s="4" t="s">
        <v>31</v>
      </c>
      <c r="AN130" s="4" t="s">
        <v>32</v>
      </c>
      <c r="AO130" s="4" t="s">
        <v>33</v>
      </c>
      <c r="AP130" s="4" t="s">
        <v>34</v>
      </c>
      <c r="AQ130" s="4" t="s">
        <v>35</v>
      </c>
      <c r="AR130" s="4" t="s">
        <v>36</v>
      </c>
    </row>
    <row r="131" spans="1:44" x14ac:dyDescent="0.2">
      <c r="A131" s="8" t="s">
        <v>377</v>
      </c>
      <c r="B131" s="8" t="s">
        <v>378</v>
      </c>
      <c r="C131" s="8" t="s">
        <v>379</v>
      </c>
      <c r="D131" s="8" t="s">
        <v>380</v>
      </c>
      <c r="E131" s="8" t="s">
        <v>962</v>
      </c>
      <c r="F131" s="5">
        <v>599</v>
      </c>
      <c r="G131" s="5"/>
      <c r="H131" s="12"/>
      <c r="I131" s="5" t="s">
        <v>785</v>
      </c>
      <c r="J131" s="5" t="s">
        <v>786</v>
      </c>
      <c r="K131" s="5">
        <v>1488</v>
      </c>
      <c r="L131" s="5">
        <v>401</v>
      </c>
      <c r="M131" s="6" t="s">
        <v>776</v>
      </c>
      <c r="N131" s="6">
        <v>5.0999999999999997E-2</v>
      </c>
      <c r="O131" s="8" t="s">
        <v>24</v>
      </c>
      <c r="P131" s="8" t="s">
        <v>25</v>
      </c>
      <c r="Q131" s="8" t="s">
        <v>779</v>
      </c>
      <c r="R131" s="8" t="s">
        <v>25</v>
      </c>
      <c r="S131" s="8">
        <v>3</v>
      </c>
      <c r="T131" s="8">
        <v>3</v>
      </c>
      <c r="U131" s="8">
        <v>448</v>
      </c>
      <c r="V131" s="8">
        <v>575</v>
      </c>
      <c r="W131" s="8">
        <f t="shared" si="8"/>
        <v>675</v>
      </c>
      <c r="X131" s="4" t="s">
        <v>767</v>
      </c>
      <c r="Y131" s="4"/>
      <c r="Z131" s="4" t="s">
        <v>768</v>
      </c>
      <c r="AA131" s="4">
        <v>5</v>
      </c>
      <c r="AB131" s="7">
        <v>32.5</v>
      </c>
      <c r="AC131" s="7">
        <f t="shared" si="9"/>
        <v>0.30089806499398203</v>
      </c>
      <c r="AD131" s="7">
        <v>108.01</v>
      </c>
      <c r="AE131" s="9">
        <v>46031</v>
      </c>
      <c r="AF131" s="9">
        <v>46031</v>
      </c>
      <c r="AG131" s="10">
        <v>0.59115740740740741</v>
      </c>
      <c r="AH131" s="4" t="s">
        <v>188</v>
      </c>
      <c r="AI131" s="4" t="s">
        <v>27</v>
      </c>
      <c r="AJ131" s="4" t="s">
        <v>28</v>
      </c>
      <c r="AK131" s="4" t="s">
        <v>29</v>
      </c>
      <c r="AL131" s="4" t="s">
        <v>30</v>
      </c>
      <c r="AM131" s="4" t="s">
        <v>31</v>
      </c>
      <c r="AN131" s="4" t="s">
        <v>32</v>
      </c>
      <c r="AO131" s="4" t="s">
        <v>33</v>
      </c>
      <c r="AP131" s="4" t="s">
        <v>34</v>
      </c>
      <c r="AQ131" s="4" t="s">
        <v>35</v>
      </c>
      <c r="AR131" s="4" t="s">
        <v>36</v>
      </c>
    </row>
    <row r="132" spans="1:44" x14ac:dyDescent="0.2">
      <c r="A132" s="8" t="s">
        <v>381</v>
      </c>
      <c r="B132" s="8" t="s">
        <v>382</v>
      </c>
      <c r="C132" s="8" t="s">
        <v>383</v>
      </c>
      <c r="D132" s="8" t="s">
        <v>384</v>
      </c>
      <c r="E132" s="8" t="s">
        <v>962</v>
      </c>
      <c r="F132" s="5">
        <v>615</v>
      </c>
      <c r="G132" s="5"/>
      <c r="H132" s="12"/>
      <c r="I132" s="5" t="s">
        <v>786</v>
      </c>
      <c r="J132" s="5" t="s">
        <v>786</v>
      </c>
      <c r="K132" s="5">
        <v>1488</v>
      </c>
      <c r="L132" s="5">
        <v>401</v>
      </c>
      <c r="M132" s="6" t="s">
        <v>776</v>
      </c>
      <c r="N132" s="6">
        <v>9.8000000000000004E-2</v>
      </c>
      <c r="O132" s="8" t="s">
        <v>24</v>
      </c>
      <c r="P132" s="8" t="s">
        <v>25</v>
      </c>
      <c r="Q132" s="8" t="s">
        <v>779</v>
      </c>
      <c r="R132" s="8" t="s">
        <v>25</v>
      </c>
      <c r="S132" s="8">
        <v>3</v>
      </c>
      <c r="T132" s="8">
        <v>3</v>
      </c>
      <c r="U132" s="8">
        <v>503</v>
      </c>
      <c r="V132" s="8">
        <v>589</v>
      </c>
      <c r="W132" s="8">
        <f t="shared" si="8"/>
        <v>689</v>
      </c>
      <c r="X132" s="4" t="s">
        <v>767</v>
      </c>
      <c r="Y132" s="4"/>
      <c r="Z132" s="4" t="s">
        <v>768</v>
      </c>
      <c r="AA132" s="4">
        <v>5</v>
      </c>
      <c r="AB132" s="7">
        <v>32.5</v>
      </c>
      <c r="AC132" s="7">
        <f t="shared" si="9"/>
        <v>0.30089806499398203</v>
      </c>
      <c r="AD132" s="7">
        <v>108.01</v>
      </c>
      <c r="AE132" s="9">
        <v>46031</v>
      </c>
      <c r="AF132" s="9">
        <v>46031</v>
      </c>
      <c r="AG132" s="10">
        <v>0.59267361111111116</v>
      </c>
      <c r="AH132" s="4" t="s">
        <v>188</v>
      </c>
      <c r="AI132" s="4" t="s">
        <v>27</v>
      </c>
      <c r="AJ132" s="4" t="s">
        <v>28</v>
      </c>
      <c r="AK132" s="4" t="s">
        <v>29</v>
      </c>
      <c r="AL132" s="4" t="s">
        <v>30</v>
      </c>
      <c r="AM132" s="4" t="s">
        <v>31</v>
      </c>
      <c r="AN132" s="4" t="s">
        <v>32</v>
      </c>
      <c r="AO132" s="4" t="s">
        <v>33</v>
      </c>
      <c r="AP132" s="4" t="s">
        <v>34</v>
      </c>
      <c r="AQ132" s="4" t="s">
        <v>35</v>
      </c>
      <c r="AR132" s="4" t="s">
        <v>36</v>
      </c>
    </row>
    <row r="133" spans="1:44" x14ac:dyDescent="0.2">
      <c r="A133" s="8" t="s">
        <v>293</v>
      </c>
      <c r="B133" s="8" t="s">
        <v>294</v>
      </c>
      <c r="C133" s="8" t="s">
        <v>295</v>
      </c>
      <c r="D133" s="8" t="s">
        <v>296</v>
      </c>
      <c r="E133" s="8" t="s">
        <v>962</v>
      </c>
      <c r="F133" s="5">
        <v>590</v>
      </c>
      <c r="G133" s="5"/>
      <c r="H133" s="12"/>
      <c r="I133" s="5" t="s">
        <v>786</v>
      </c>
      <c r="J133" s="5" t="s">
        <v>786</v>
      </c>
      <c r="K133" s="5">
        <v>1477</v>
      </c>
      <c r="L133" s="5">
        <v>410</v>
      </c>
      <c r="M133" s="6" t="s">
        <v>776</v>
      </c>
      <c r="N133" s="6">
        <v>6.4000000000000001E-2</v>
      </c>
      <c r="O133" s="8" t="s">
        <v>24</v>
      </c>
      <c r="P133" s="8" t="s">
        <v>25</v>
      </c>
      <c r="Q133" s="8" t="s">
        <v>780</v>
      </c>
      <c r="R133" s="8" t="s">
        <v>25</v>
      </c>
      <c r="S133" s="8">
        <v>5</v>
      </c>
      <c r="T133" s="8">
        <v>5</v>
      </c>
      <c r="U133" s="8">
        <v>522</v>
      </c>
      <c r="V133" s="8">
        <v>560</v>
      </c>
      <c r="W133" s="8">
        <f t="shared" si="8"/>
        <v>660</v>
      </c>
      <c r="X133" s="4" t="s">
        <v>767</v>
      </c>
      <c r="Y133" s="4" t="s">
        <v>767</v>
      </c>
      <c r="Z133" s="4" t="s">
        <v>768</v>
      </c>
      <c r="AA133" s="4">
        <v>5</v>
      </c>
      <c r="AB133" s="7">
        <v>32.5</v>
      </c>
      <c r="AC133" s="7">
        <f t="shared" si="9"/>
        <v>0.30089806499398203</v>
      </c>
      <c r="AD133" s="7">
        <v>108.01</v>
      </c>
      <c r="AE133" s="9">
        <v>46031</v>
      </c>
      <c r="AF133" s="9">
        <v>46031</v>
      </c>
      <c r="AG133" s="10">
        <v>0.60177083333333337</v>
      </c>
      <c r="AH133" s="4" t="s">
        <v>188</v>
      </c>
      <c r="AI133" s="4" t="s">
        <v>27</v>
      </c>
      <c r="AJ133" s="4" t="s">
        <v>28</v>
      </c>
      <c r="AK133" s="4" t="s">
        <v>29</v>
      </c>
      <c r="AL133" s="4" t="s">
        <v>30</v>
      </c>
      <c r="AM133" s="4" t="s">
        <v>31</v>
      </c>
      <c r="AN133" s="4" t="s">
        <v>32</v>
      </c>
      <c r="AO133" s="4" t="s">
        <v>33</v>
      </c>
      <c r="AP133" s="4" t="s">
        <v>34</v>
      </c>
      <c r="AQ133" s="4" t="s">
        <v>35</v>
      </c>
      <c r="AR133" s="4" t="s">
        <v>36</v>
      </c>
    </row>
    <row r="134" spans="1:44" x14ac:dyDescent="0.2">
      <c r="A134" s="8" t="s">
        <v>297</v>
      </c>
      <c r="B134" s="8" t="s">
        <v>298</v>
      </c>
      <c r="C134" s="8" t="s">
        <v>299</v>
      </c>
      <c r="D134" s="8" t="s">
        <v>300</v>
      </c>
      <c r="E134" s="8" t="s">
        <v>962</v>
      </c>
      <c r="F134" s="5">
        <v>593</v>
      </c>
      <c r="G134" s="5"/>
      <c r="H134" s="12"/>
      <c r="I134" s="5" t="s">
        <v>786</v>
      </c>
      <c r="J134" s="5" t="s">
        <v>786</v>
      </c>
      <c r="K134" s="5">
        <v>1477</v>
      </c>
      <c r="L134" s="5">
        <v>410</v>
      </c>
      <c r="M134" s="6" t="s">
        <v>776</v>
      </c>
      <c r="N134" s="6">
        <v>9.6000000000000002E-2</v>
      </c>
      <c r="O134" s="8" t="s">
        <v>24</v>
      </c>
      <c r="P134" s="8" t="s">
        <v>25</v>
      </c>
      <c r="Q134" s="8" t="s">
        <v>780</v>
      </c>
      <c r="R134" s="8" t="s">
        <v>25</v>
      </c>
      <c r="S134" s="8">
        <v>5</v>
      </c>
      <c r="T134" s="8">
        <v>5</v>
      </c>
      <c r="U134" s="8">
        <v>544</v>
      </c>
      <c r="V134" s="8">
        <v>575</v>
      </c>
      <c r="W134" s="8">
        <f t="shared" si="8"/>
        <v>675</v>
      </c>
      <c r="X134" s="4" t="s">
        <v>767</v>
      </c>
      <c r="Y134" s="4" t="s">
        <v>767</v>
      </c>
      <c r="Z134" s="4" t="s">
        <v>768</v>
      </c>
      <c r="AA134" s="4">
        <v>5</v>
      </c>
      <c r="AB134" s="7">
        <v>32.5</v>
      </c>
      <c r="AC134" s="7">
        <f t="shared" si="9"/>
        <v>0.30089806499398203</v>
      </c>
      <c r="AD134" s="7">
        <v>108.01</v>
      </c>
      <c r="AE134" s="9">
        <v>46031</v>
      </c>
      <c r="AF134" s="9">
        <v>46031</v>
      </c>
      <c r="AG134" s="10">
        <v>0.60256944444444449</v>
      </c>
      <c r="AH134" s="4" t="s">
        <v>188</v>
      </c>
      <c r="AI134" s="4" t="s">
        <v>27</v>
      </c>
      <c r="AJ134" s="4" t="s">
        <v>28</v>
      </c>
      <c r="AK134" s="4" t="s">
        <v>29</v>
      </c>
      <c r="AL134" s="4" t="s">
        <v>30</v>
      </c>
      <c r="AM134" s="4" t="s">
        <v>31</v>
      </c>
      <c r="AN134" s="4" t="s">
        <v>32</v>
      </c>
      <c r="AO134" s="4" t="s">
        <v>33</v>
      </c>
      <c r="AP134" s="4" t="s">
        <v>34</v>
      </c>
      <c r="AQ134" s="4" t="s">
        <v>35</v>
      </c>
      <c r="AR134" s="4" t="s">
        <v>36</v>
      </c>
    </row>
    <row r="135" spans="1:44" x14ac:dyDescent="0.2">
      <c r="A135" s="8" t="s">
        <v>301</v>
      </c>
      <c r="B135" s="8" t="s">
        <v>302</v>
      </c>
      <c r="C135" s="8" t="s">
        <v>303</v>
      </c>
      <c r="D135" s="8" t="s">
        <v>304</v>
      </c>
      <c r="E135" s="8" t="s">
        <v>962</v>
      </c>
      <c r="F135" s="5">
        <v>543</v>
      </c>
      <c r="G135" s="5"/>
      <c r="H135" s="12"/>
      <c r="I135" s="5" t="s">
        <v>785</v>
      </c>
      <c r="J135" s="5" t="s">
        <v>785</v>
      </c>
      <c r="K135" s="5">
        <v>1477</v>
      </c>
      <c r="L135" s="5">
        <v>410</v>
      </c>
      <c r="M135" s="6" t="s">
        <v>776</v>
      </c>
      <c r="N135" s="6">
        <v>0.161</v>
      </c>
      <c r="O135" s="8" t="s">
        <v>24</v>
      </c>
      <c r="P135" s="8" t="s">
        <v>25</v>
      </c>
      <c r="Q135" s="8" t="s">
        <v>780</v>
      </c>
      <c r="R135" s="8" t="s">
        <v>25</v>
      </c>
      <c r="S135" s="8">
        <v>5</v>
      </c>
      <c r="T135" s="8">
        <v>5</v>
      </c>
      <c r="U135" s="8">
        <v>481</v>
      </c>
      <c r="V135" s="8">
        <v>520</v>
      </c>
      <c r="W135" s="8">
        <f t="shared" si="8"/>
        <v>620</v>
      </c>
      <c r="X135" s="4" t="s">
        <v>767</v>
      </c>
      <c r="Y135" s="4" t="s">
        <v>767</v>
      </c>
      <c r="Z135" s="4" t="s">
        <v>768</v>
      </c>
      <c r="AA135" s="4">
        <v>5</v>
      </c>
      <c r="AB135" s="7">
        <v>32.5</v>
      </c>
      <c r="AC135" s="7">
        <f t="shared" si="9"/>
        <v>0.30089806499398203</v>
      </c>
      <c r="AD135" s="7">
        <v>108.01</v>
      </c>
      <c r="AE135" s="9">
        <v>46031</v>
      </c>
      <c r="AF135" s="9">
        <v>46031</v>
      </c>
      <c r="AG135" s="10">
        <v>0.60337962962962965</v>
      </c>
      <c r="AH135" s="4" t="s">
        <v>188</v>
      </c>
      <c r="AI135" s="4" t="s">
        <v>27</v>
      </c>
      <c r="AJ135" s="4" t="s">
        <v>28</v>
      </c>
      <c r="AK135" s="4" t="s">
        <v>29</v>
      </c>
      <c r="AL135" s="4" t="s">
        <v>30</v>
      </c>
      <c r="AM135" s="4" t="s">
        <v>31</v>
      </c>
      <c r="AN135" s="4" t="s">
        <v>32</v>
      </c>
      <c r="AO135" s="4" t="s">
        <v>33</v>
      </c>
      <c r="AP135" s="4" t="s">
        <v>34</v>
      </c>
      <c r="AQ135" s="4" t="s">
        <v>35</v>
      </c>
      <c r="AR135" s="4" t="s">
        <v>36</v>
      </c>
    </row>
    <row r="136" spans="1:44" x14ac:dyDescent="0.2">
      <c r="A136" s="8" t="s">
        <v>305</v>
      </c>
      <c r="B136" s="8" t="s">
        <v>306</v>
      </c>
      <c r="C136" s="8" t="s">
        <v>307</v>
      </c>
      <c r="D136" s="8" t="s">
        <v>308</v>
      </c>
      <c r="E136" s="8" t="s">
        <v>962</v>
      </c>
      <c r="F136" s="5">
        <v>505</v>
      </c>
      <c r="G136" s="5"/>
      <c r="H136" s="12"/>
      <c r="I136" s="5" t="s">
        <v>786</v>
      </c>
      <c r="J136" s="5" t="s">
        <v>786</v>
      </c>
      <c r="K136" s="5">
        <v>1477</v>
      </c>
      <c r="L136" s="5">
        <v>410</v>
      </c>
      <c r="M136" s="6" t="s">
        <v>776</v>
      </c>
      <c r="N136" s="6">
        <v>0.21299999999999999</v>
      </c>
      <c r="O136" s="8" t="s">
        <v>24</v>
      </c>
      <c r="P136" s="8" t="s">
        <v>25</v>
      </c>
      <c r="Q136" s="8" t="s">
        <v>780</v>
      </c>
      <c r="R136" s="8" t="s">
        <v>25</v>
      </c>
      <c r="S136" s="8">
        <v>5</v>
      </c>
      <c r="T136" s="8">
        <v>5</v>
      </c>
      <c r="U136" s="8">
        <v>468</v>
      </c>
      <c r="V136" s="8">
        <v>492</v>
      </c>
      <c r="W136" s="8">
        <f t="shared" si="8"/>
        <v>592</v>
      </c>
      <c r="X136" s="4" t="s">
        <v>767</v>
      </c>
      <c r="Y136" s="4" t="s">
        <v>767</v>
      </c>
      <c r="Z136" s="4" t="s">
        <v>768</v>
      </c>
      <c r="AA136" s="4">
        <v>5</v>
      </c>
      <c r="AB136" s="7">
        <v>32.5</v>
      </c>
      <c r="AC136" s="7">
        <f t="shared" si="9"/>
        <v>0.30089806499398203</v>
      </c>
      <c r="AD136" s="7">
        <v>108.01</v>
      </c>
      <c r="AE136" s="9">
        <v>46031</v>
      </c>
      <c r="AF136" s="9">
        <v>46031</v>
      </c>
      <c r="AG136" s="10">
        <v>0.60370370370370374</v>
      </c>
      <c r="AH136" s="4" t="s">
        <v>188</v>
      </c>
      <c r="AI136" s="4" t="s">
        <v>27</v>
      </c>
      <c r="AJ136" s="4" t="s">
        <v>28</v>
      </c>
      <c r="AK136" s="4" t="s">
        <v>29</v>
      </c>
      <c r="AL136" s="4" t="s">
        <v>30</v>
      </c>
      <c r="AM136" s="4" t="s">
        <v>31</v>
      </c>
      <c r="AN136" s="4" t="s">
        <v>32</v>
      </c>
      <c r="AO136" s="4" t="s">
        <v>33</v>
      </c>
      <c r="AP136" s="4" t="s">
        <v>34</v>
      </c>
      <c r="AQ136" s="4" t="s">
        <v>35</v>
      </c>
      <c r="AR136" s="4" t="s">
        <v>36</v>
      </c>
    </row>
    <row r="137" spans="1:44" x14ac:dyDescent="0.2">
      <c r="A137" s="8" t="s">
        <v>309</v>
      </c>
      <c r="B137" s="8" t="s">
        <v>310</v>
      </c>
      <c r="C137" s="8" t="s">
        <v>311</v>
      </c>
      <c r="D137" s="8" t="s">
        <v>312</v>
      </c>
      <c r="E137" s="8" t="s">
        <v>962</v>
      </c>
      <c r="F137" s="5">
        <v>527</v>
      </c>
      <c r="G137" s="5"/>
      <c r="H137" s="12"/>
      <c r="I137" s="5" t="s">
        <v>785</v>
      </c>
      <c r="J137" s="5" t="s">
        <v>785</v>
      </c>
      <c r="K137" s="5">
        <v>1477</v>
      </c>
      <c r="L137" s="5">
        <v>410</v>
      </c>
      <c r="M137" s="6" t="s">
        <v>776</v>
      </c>
      <c r="N137" s="6">
        <v>0.28399999999999997</v>
      </c>
      <c r="O137" s="8" t="s">
        <v>24</v>
      </c>
      <c r="P137" s="8" t="s">
        <v>25</v>
      </c>
      <c r="Q137" s="8" t="s">
        <v>780</v>
      </c>
      <c r="R137" s="8" t="s">
        <v>25</v>
      </c>
      <c r="S137" s="8">
        <v>5</v>
      </c>
      <c r="T137" s="8">
        <v>5</v>
      </c>
      <c r="U137" s="8">
        <v>451</v>
      </c>
      <c r="V137" s="8">
        <v>480</v>
      </c>
      <c r="W137" s="8">
        <f t="shared" si="8"/>
        <v>580</v>
      </c>
      <c r="X137" s="4" t="s">
        <v>767</v>
      </c>
      <c r="Y137" s="4" t="s">
        <v>767</v>
      </c>
      <c r="Z137" s="4" t="s">
        <v>768</v>
      </c>
      <c r="AA137" s="4">
        <v>5</v>
      </c>
      <c r="AB137" s="7">
        <v>32.5</v>
      </c>
      <c r="AC137" s="7">
        <f t="shared" si="9"/>
        <v>0.30089806499398203</v>
      </c>
      <c r="AD137" s="7">
        <v>108.01</v>
      </c>
      <c r="AE137" s="9">
        <v>46031</v>
      </c>
      <c r="AF137" s="9">
        <v>46031</v>
      </c>
      <c r="AG137" s="10">
        <v>0.60386574074074073</v>
      </c>
      <c r="AH137" s="4" t="s">
        <v>188</v>
      </c>
      <c r="AI137" s="4" t="s">
        <v>27</v>
      </c>
      <c r="AJ137" s="4" t="s">
        <v>28</v>
      </c>
      <c r="AK137" s="4" t="s">
        <v>29</v>
      </c>
      <c r="AL137" s="4" t="s">
        <v>30</v>
      </c>
      <c r="AM137" s="4" t="s">
        <v>31</v>
      </c>
      <c r="AN137" s="4" t="s">
        <v>32</v>
      </c>
      <c r="AO137" s="4" t="s">
        <v>33</v>
      </c>
      <c r="AP137" s="4" t="s">
        <v>34</v>
      </c>
      <c r="AQ137" s="4" t="s">
        <v>35</v>
      </c>
      <c r="AR137" s="4" t="s">
        <v>36</v>
      </c>
    </row>
    <row r="138" spans="1:44" x14ac:dyDescent="0.2">
      <c r="A138" s="8" t="s">
        <v>101</v>
      </c>
      <c r="B138" s="8" t="s">
        <v>102</v>
      </c>
      <c r="C138" s="8" t="s">
        <v>103</v>
      </c>
      <c r="D138" s="8" t="s">
        <v>104</v>
      </c>
      <c r="E138" s="8" t="s">
        <v>962</v>
      </c>
      <c r="F138" s="5">
        <v>840</v>
      </c>
      <c r="G138" s="5"/>
      <c r="H138" s="12"/>
      <c r="I138" s="5" t="s">
        <v>785</v>
      </c>
      <c r="J138" s="5" t="s">
        <v>785</v>
      </c>
      <c r="K138" s="5">
        <v>694</v>
      </c>
      <c r="L138" s="5">
        <v>289</v>
      </c>
      <c r="M138" s="6" t="s">
        <v>776</v>
      </c>
      <c r="N138" s="6">
        <v>0.25600000000000001</v>
      </c>
      <c r="O138" s="8" t="s">
        <v>24</v>
      </c>
      <c r="P138" s="8" t="s">
        <v>25</v>
      </c>
      <c r="Q138" s="8" t="s">
        <v>779</v>
      </c>
      <c r="R138" s="8" t="s">
        <v>25</v>
      </c>
      <c r="S138" s="8">
        <v>4</v>
      </c>
      <c r="T138" s="8">
        <v>4</v>
      </c>
      <c r="U138" s="8">
        <v>760</v>
      </c>
      <c r="V138" s="8">
        <v>816</v>
      </c>
      <c r="W138" s="8">
        <f t="shared" si="8"/>
        <v>916</v>
      </c>
      <c r="X138" s="4" t="s">
        <v>766</v>
      </c>
      <c r="Y138" s="4"/>
      <c r="Z138" s="4" t="s">
        <v>768</v>
      </c>
      <c r="AA138" s="4">
        <v>4</v>
      </c>
      <c r="AB138" s="7">
        <v>32.5</v>
      </c>
      <c r="AC138" s="7">
        <f t="shared" si="9"/>
        <v>0.29013194308057633</v>
      </c>
      <c r="AD138" s="7">
        <v>112.018</v>
      </c>
      <c r="AE138" s="9">
        <v>46038</v>
      </c>
      <c r="AF138" s="9">
        <v>46038</v>
      </c>
      <c r="AG138" s="10">
        <v>0.65181712962962968</v>
      </c>
      <c r="AH138" s="4" t="s">
        <v>26</v>
      </c>
      <c r="AI138" s="4" t="s">
        <v>91</v>
      </c>
      <c r="AJ138" s="4" t="s">
        <v>92</v>
      </c>
      <c r="AK138" s="4" t="s">
        <v>93</v>
      </c>
      <c r="AL138" s="4" t="s">
        <v>94</v>
      </c>
      <c r="AM138" s="4" t="s">
        <v>95</v>
      </c>
      <c r="AN138" s="4" t="s">
        <v>96</v>
      </c>
      <c r="AO138" s="4" t="s">
        <v>97</v>
      </c>
      <c r="AP138" s="4" t="s">
        <v>98</v>
      </c>
      <c r="AQ138" s="4" t="s">
        <v>99</v>
      </c>
      <c r="AR138" s="4" t="s">
        <v>100</v>
      </c>
    </row>
    <row r="139" spans="1:44" x14ac:dyDescent="0.2">
      <c r="A139" s="8" t="s">
        <v>105</v>
      </c>
      <c r="B139" s="8" t="s">
        <v>106</v>
      </c>
      <c r="C139" s="8" t="s">
        <v>107</v>
      </c>
      <c r="D139" s="8" t="s">
        <v>108</v>
      </c>
      <c r="E139" s="8" t="s">
        <v>962</v>
      </c>
      <c r="F139" s="5">
        <v>600</v>
      </c>
      <c r="G139" s="5"/>
      <c r="H139" s="12"/>
      <c r="I139" s="5" t="s">
        <v>785</v>
      </c>
      <c r="J139" s="5" t="s">
        <v>785</v>
      </c>
      <c r="K139" s="5">
        <v>694</v>
      </c>
      <c r="L139" s="5">
        <v>289</v>
      </c>
      <c r="M139" s="6" t="s">
        <v>776</v>
      </c>
      <c r="N139" s="6">
        <v>0.15</v>
      </c>
      <c r="O139" s="8" t="s">
        <v>24</v>
      </c>
      <c r="P139" s="8" t="s">
        <v>25</v>
      </c>
      <c r="Q139" s="8" t="s">
        <v>779</v>
      </c>
      <c r="R139" s="8" t="s">
        <v>25</v>
      </c>
      <c r="S139" s="8">
        <v>4</v>
      </c>
      <c r="T139" s="8">
        <v>4</v>
      </c>
      <c r="U139" s="8">
        <v>531</v>
      </c>
      <c r="V139" s="8">
        <v>583</v>
      </c>
      <c r="W139" s="8">
        <f t="shared" si="8"/>
        <v>683</v>
      </c>
      <c r="X139" s="4" t="s">
        <v>766</v>
      </c>
      <c r="Y139" s="4"/>
      <c r="Z139" s="4" t="s">
        <v>768</v>
      </c>
      <c r="AA139" s="4">
        <v>4</v>
      </c>
      <c r="AB139" s="7">
        <v>32.5</v>
      </c>
      <c r="AC139" s="7">
        <f t="shared" si="9"/>
        <v>0.29013194308057633</v>
      </c>
      <c r="AD139" s="7">
        <v>112.018</v>
      </c>
      <c r="AE139" s="9">
        <v>46038</v>
      </c>
      <c r="AF139" s="9">
        <v>46038</v>
      </c>
      <c r="AG139" s="10">
        <v>0.65310185185185188</v>
      </c>
      <c r="AH139" s="4" t="s">
        <v>26</v>
      </c>
      <c r="AI139" s="4" t="s">
        <v>91</v>
      </c>
      <c r="AJ139" s="4" t="s">
        <v>92</v>
      </c>
      <c r="AK139" s="4" t="s">
        <v>93</v>
      </c>
      <c r="AL139" s="4" t="s">
        <v>94</v>
      </c>
      <c r="AM139" s="4" t="s">
        <v>95</v>
      </c>
      <c r="AN139" s="4" t="s">
        <v>96</v>
      </c>
      <c r="AO139" s="4" t="s">
        <v>97</v>
      </c>
      <c r="AP139" s="4" t="s">
        <v>98</v>
      </c>
      <c r="AQ139" s="4" t="s">
        <v>99</v>
      </c>
      <c r="AR139" s="4" t="s">
        <v>100</v>
      </c>
    </row>
    <row r="140" spans="1:44" x14ac:dyDescent="0.2">
      <c r="A140" s="8" t="s">
        <v>129</v>
      </c>
      <c r="B140" s="8" t="s">
        <v>130</v>
      </c>
      <c r="C140" s="8" t="s">
        <v>131</v>
      </c>
      <c r="D140" s="8" t="s">
        <v>132</v>
      </c>
      <c r="E140" s="8" t="s">
        <v>962</v>
      </c>
      <c r="F140" s="14"/>
      <c r="G140" s="14"/>
      <c r="H140" s="15" t="s">
        <v>968</v>
      </c>
      <c r="I140" s="5" t="s">
        <v>785</v>
      </c>
      <c r="J140" s="5" t="s">
        <v>785</v>
      </c>
      <c r="K140" s="5">
        <v>694</v>
      </c>
      <c r="L140" s="5">
        <v>289</v>
      </c>
      <c r="M140" s="6" t="s">
        <v>776</v>
      </c>
      <c r="N140" s="6">
        <v>0.45</v>
      </c>
      <c r="O140" s="8" t="s">
        <v>24</v>
      </c>
      <c r="P140" s="8" t="s">
        <v>41</v>
      </c>
      <c r="Q140" s="8" t="s">
        <v>780</v>
      </c>
      <c r="R140" s="8" t="s">
        <v>41</v>
      </c>
      <c r="S140" s="8">
        <v>6</v>
      </c>
      <c r="T140" s="8">
        <v>6</v>
      </c>
      <c r="U140" s="8">
        <v>336</v>
      </c>
      <c r="V140" s="8">
        <v>475</v>
      </c>
      <c r="W140" s="8">
        <f t="shared" si="8"/>
        <v>575</v>
      </c>
      <c r="X140" s="4" t="s">
        <v>766</v>
      </c>
      <c r="Y140" s="4" t="s">
        <v>766</v>
      </c>
      <c r="Z140" s="4" t="s">
        <v>768</v>
      </c>
      <c r="AA140" s="4">
        <v>4</v>
      </c>
      <c r="AB140" s="7">
        <v>32.5</v>
      </c>
      <c r="AC140" s="7">
        <f t="shared" si="9"/>
        <v>0.29013194308057633</v>
      </c>
      <c r="AD140" s="7">
        <v>112.018</v>
      </c>
      <c r="AE140" s="9">
        <v>46038</v>
      </c>
      <c r="AF140" s="9">
        <v>46038</v>
      </c>
      <c r="AG140" s="10">
        <v>0.67526620370370372</v>
      </c>
      <c r="AH140" s="4" t="s">
        <v>26</v>
      </c>
      <c r="AI140" s="4" t="s">
        <v>91</v>
      </c>
      <c r="AJ140" s="4" t="s">
        <v>92</v>
      </c>
      <c r="AK140" s="4" t="s">
        <v>93</v>
      </c>
      <c r="AL140" s="4" t="s">
        <v>94</v>
      </c>
      <c r="AM140" s="4" t="s">
        <v>95</v>
      </c>
      <c r="AN140" s="4" t="s">
        <v>96</v>
      </c>
      <c r="AO140" s="4" t="s">
        <v>97</v>
      </c>
      <c r="AP140" s="4" t="s">
        <v>98</v>
      </c>
      <c r="AQ140" s="4" t="s">
        <v>99</v>
      </c>
      <c r="AR140" s="4" t="s">
        <v>100</v>
      </c>
    </row>
    <row r="141" spans="1:44" x14ac:dyDescent="0.2">
      <c r="A141" s="8" t="s">
        <v>625</v>
      </c>
      <c r="B141" s="8" t="s">
        <v>626</v>
      </c>
      <c r="C141" s="8" t="s">
        <v>627</v>
      </c>
      <c r="D141" s="8" t="s">
        <v>628</v>
      </c>
      <c r="E141" s="8" t="s">
        <v>962</v>
      </c>
      <c r="F141" s="14"/>
      <c r="G141" s="14"/>
      <c r="H141" s="15" t="s">
        <v>968</v>
      </c>
      <c r="I141" s="5" t="s">
        <v>785</v>
      </c>
      <c r="J141" s="5" t="s">
        <v>785</v>
      </c>
      <c r="K141" s="5">
        <v>1482</v>
      </c>
      <c r="L141" s="5">
        <v>416</v>
      </c>
      <c r="M141" s="6" t="s">
        <v>776</v>
      </c>
      <c r="N141" s="6">
        <v>8.4000000000000005E-2</v>
      </c>
      <c r="O141" s="8" t="s">
        <v>24</v>
      </c>
      <c r="P141" s="8" t="s">
        <v>41</v>
      </c>
      <c r="Q141" s="8" t="s">
        <v>780</v>
      </c>
      <c r="R141" s="8" t="s">
        <v>41</v>
      </c>
      <c r="S141" s="8">
        <v>2</v>
      </c>
      <c r="T141" s="8">
        <v>2</v>
      </c>
      <c r="U141" s="8">
        <v>497</v>
      </c>
      <c r="V141" s="8">
        <v>572</v>
      </c>
      <c r="W141" s="8">
        <f t="shared" si="8"/>
        <v>672</v>
      </c>
      <c r="X141" s="4" t="s">
        <v>767</v>
      </c>
      <c r="Y141" s="4"/>
      <c r="Z141" s="4" t="s">
        <v>768</v>
      </c>
      <c r="AA141" s="4">
        <v>5</v>
      </c>
      <c r="AB141" s="7">
        <v>32.5</v>
      </c>
      <c r="AC141" s="7">
        <f t="shared" si="9"/>
        <v>0.32171847158978423</v>
      </c>
      <c r="AD141" s="7">
        <v>101.02</v>
      </c>
      <c r="AE141" s="9">
        <v>46038</v>
      </c>
      <c r="AF141" s="9">
        <v>46038</v>
      </c>
      <c r="AG141" s="10">
        <v>0.66493055555555558</v>
      </c>
      <c r="AH141" s="4" t="s">
        <v>188</v>
      </c>
      <c r="AI141" s="4" t="s">
        <v>91</v>
      </c>
      <c r="AJ141" s="4" t="s">
        <v>92</v>
      </c>
      <c r="AK141" s="4" t="s">
        <v>93</v>
      </c>
      <c r="AL141" s="4" t="s">
        <v>94</v>
      </c>
      <c r="AM141" s="4" t="s">
        <v>95</v>
      </c>
      <c r="AN141" s="4" t="s">
        <v>96</v>
      </c>
      <c r="AO141" s="4" t="s">
        <v>97</v>
      </c>
      <c r="AP141" s="4" t="s">
        <v>98</v>
      </c>
      <c r="AQ141" s="4" t="s">
        <v>99</v>
      </c>
      <c r="AR141" s="4" t="s">
        <v>100</v>
      </c>
    </row>
    <row r="142" spans="1:44" x14ac:dyDescent="0.2">
      <c r="A142" s="8" t="s">
        <v>633</v>
      </c>
      <c r="B142" s="8" t="s">
        <v>634</v>
      </c>
      <c r="C142" s="8" t="s">
        <v>635</v>
      </c>
      <c r="D142" s="8" t="s">
        <v>636</v>
      </c>
      <c r="E142" s="8" t="s">
        <v>962</v>
      </c>
      <c r="F142" s="5">
        <v>557</v>
      </c>
      <c r="G142" s="5"/>
      <c r="H142" s="12"/>
      <c r="I142" s="5" t="s">
        <v>785</v>
      </c>
      <c r="J142" s="5" t="s">
        <v>785</v>
      </c>
      <c r="K142" s="5">
        <v>1482</v>
      </c>
      <c r="L142" s="5">
        <v>416</v>
      </c>
      <c r="M142" s="6" t="s">
        <v>776</v>
      </c>
      <c r="N142" s="6">
        <v>0.129</v>
      </c>
      <c r="O142" s="8" t="s">
        <v>24</v>
      </c>
      <c r="P142" s="8" t="s">
        <v>41</v>
      </c>
      <c r="Q142" s="8" t="s">
        <v>780</v>
      </c>
      <c r="R142" s="8" t="s">
        <v>41</v>
      </c>
      <c r="S142" s="8">
        <v>2</v>
      </c>
      <c r="T142" s="8">
        <v>2</v>
      </c>
      <c r="U142" s="8">
        <v>516</v>
      </c>
      <c r="V142" s="8">
        <v>537</v>
      </c>
      <c r="W142" s="8">
        <f t="shared" si="8"/>
        <v>637</v>
      </c>
      <c r="X142" s="4" t="s">
        <v>767</v>
      </c>
      <c r="Y142" s="4"/>
      <c r="Z142" s="4" t="s">
        <v>768</v>
      </c>
      <c r="AA142" s="4">
        <v>5</v>
      </c>
      <c r="AB142" s="7">
        <v>32.5</v>
      </c>
      <c r="AC142" s="7">
        <f t="shared" si="9"/>
        <v>0.32171847158978423</v>
      </c>
      <c r="AD142" s="7">
        <v>101.02</v>
      </c>
      <c r="AE142" s="9">
        <v>46038</v>
      </c>
      <c r="AF142" s="9">
        <v>46038</v>
      </c>
      <c r="AG142" s="10">
        <v>0.66511574074074076</v>
      </c>
      <c r="AH142" s="4" t="s">
        <v>188</v>
      </c>
      <c r="AI142" s="4" t="s">
        <v>91</v>
      </c>
      <c r="AJ142" s="4" t="s">
        <v>92</v>
      </c>
      <c r="AK142" s="4" t="s">
        <v>93</v>
      </c>
      <c r="AL142" s="4" t="s">
        <v>94</v>
      </c>
      <c r="AM142" s="4" t="s">
        <v>95</v>
      </c>
      <c r="AN142" s="4" t="s">
        <v>96</v>
      </c>
      <c r="AO142" s="4" t="s">
        <v>97</v>
      </c>
      <c r="AP142" s="4" t="s">
        <v>98</v>
      </c>
      <c r="AQ142" s="4" t="s">
        <v>99</v>
      </c>
      <c r="AR142" s="4" t="s">
        <v>100</v>
      </c>
    </row>
    <row r="143" spans="1:44" x14ac:dyDescent="0.2">
      <c r="A143" s="8" t="s">
        <v>637</v>
      </c>
      <c r="B143" s="8" t="s">
        <v>638</v>
      </c>
      <c r="C143" s="8" t="s">
        <v>639</v>
      </c>
      <c r="D143" s="8" t="s">
        <v>640</v>
      </c>
      <c r="E143" s="8" t="s">
        <v>962</v>
      </c>
      <c r="F143" s="5">
        <v>559</v>
      </c>
      <c r="G143" s="5"/>
      <c r="H143" s="12"/>
      <c r="I143" s="5" t="s">
        <v>785</v>
      </c>
      <c r="J143" s="5" t="s">
        <v>785</v>
      </c>
      <c r="K143" s="5">
        <v>1482</v>
      </c>
      <c r="L143" s="5">
        <v>416</v>
      </c>
      <c r="M143" s="6" t="s">
        <v>776</v>
      </c>
      <c r="N143" s="6">
        <v>0.13</v>
      </c>
      <c r="O143" s="8" t="s">
        <v>24</v>
      </c>
      <c r="P143" s="8" t="s">
        <v>41</v>
      </c>
      <c r="Q143" s="8" t="s">
        <v>780</v>
      </c>
      <c r="R143" s="8" t="s">
        <v>41</v>
      </c>
      <c r="S143" s="8">
        <v>2</v>
      </c>
      <c r="T143" s="8">
        <v>2</v>
      </c>
      <c r="U143" s="8">
        <v>445</v>
      </c>
      <c r="V143" s="8">
        <v>518</v>
      </c>
      <c r="W143" s="8">
        <f t="shared" si="8"/>
        <v>618</v>
      </c>
      <c r="X143" s="4" t="s">
        <v>767</v>
      </c>
      <c r="Y143" s="4"/>
      <c r="Z143" s="4" t="s">
        <v>768</v>
      </c>
      <c r="AA143" s="4">
        <v>5</v>
      </c>
      <c r="AB143" s="7">
        <v>32.5</v>
      </c>
      <c r="AC143" s="7">
        <f t="shared" si="9"/>
        <v>0.32171847158978423</v>
      </c>
      <c r="AD143" s="7">
        <v>101.02</v>
      </c>
      <c r="AE143" s="9">
        <v>46038</v>
      </c>
      <c r="AF143" s="9">
        <v>46038</v>
      </c>
      <c r="AG143" s="10">
        <v>0.66538194444444443</v>
      </c>
      <c r="AH143" s="4" t="s">
        <v>188</v>
      </c>
      <c r="AI143" s="4" t="s">
        <v>91</v>
      </c>
      <c r="AJ143" s="4" t="s">
        <v>92</v>
      </c>
      <c r="AK143" s="4" t="s">
        <v>93</v>
      </c>
      <c r="AL143" s="4" t="s">
        <v>94</v>
      </c>
      <c r="AM143" s="4" t="s">
        <v>95</v>
      </c>
      <c r="AN143" s="4" t="s">
        <v>96</v>
      </c>
      <c r="AO143" s="4" t="s">
        <v>97</v>
      </c>
      <c r="AP143" s="4" t="s">
        <v>98</v>
      </c>
      <c r="AQ143" s="4" t="s">
        <v>99</v>
      </c>
      <c r="AR143" s="4" t="s">
        <v>100</v>
      </c>
    </row>
    <row r="144" spans="1:44" x14ac:dyDescent="0.2">
      <c r="A144" s="8" t="s">
        <v>641</v>
      </c>
      <c r="B144" s="8" t="s">
        <v>642</v>
      </c>
      <c r="C144" s="8" t="s">
        <v>643</v>
      </c>
      <c r="D144" s="8" t="s">
        <v>644</v>
      </c>
      <c r="E144" s="8" t="s">
        <v>962</v>
      </c>
      <c r="F144" s="14"/>
      <c r="G144" s="14"/>
      <c r="H144" s="15" t="s">
        <v>968</v>
      </c>
      <c r="I144" s="5" t="s">
        <v>785</v>
      </c>
      <c r="J144" s="5" t="s">
        <v>785</v>
      </c>
      <c r="K144" s="5">
        <v>1482</v>
      </c>
      <c r="L144" s="5">
        <v>416</v>
      </c>
      <c r="M144" s="6" t="s">
        <v>776</v>
      </c>
      <c r="N144" s="6">
        <v>0.41099999999999998</v>
      </c>
      <c r="O144" s="8" t="s">
        <v>24</v>
      </c>
      <c r="P144" s="8" t="s">
        <v>41</v>
      </c>
      <c r="Q144" s="8" t="s">
        <v>780</v>
      </c>
      <c r="R144" s="8" t="s">
        <v>41</v>
      </c>
      <c r="S144" s="8">
        <v>2</v>
      </c>
      <c r="T144" s="8">
        <v>2</v>
      </c>
      <c r="U144" s="8">
        <v>524</v>
      </c>
      <c r="V144" s="8">
        <v>623</v>
      </c>
      <c r="W144" s="8">
        <f t="shared" si="8"/>
        <v>723</v>
      </c>
      <c r="X144" s="4" t="s">
        <v>767</v>
      </c>
      <c r="Y144" s="4"/>
      <c r="Z144" s="4" t="s">
        <v>768</v>
      </c>
      <c r="AA144" s="4">
        <v>5</v>
      </c>
      <c r="AB144" s="7">
        <v>32.5</v>
      </c>
      <c r="AC144" s="7">
        <f t="shared" si="9"/>
        <v>0.32171847158978423</v>
      </c>
      <c r="AD144" s="7">
        <v>101.02</v>
      </c>
      <c r="AE144" s="9">
        <v>46038</v>
      </c>
      <c r="AF144" s="9">
        <v>46038</v>
      </c>
      <c r="AG144" s="10">
        <v>0.66559027777777779</v>
      </c>
      <c r="AH144" s="4" t="s">
        <v>188</v>
      </c>
      <c r="AI144" s="4" t="s">
        <v>91</v>
      </c>
      <c r="AJ144" s="4" t="s">
        <v>92</v>
      </c>
      <c r="AK144" s="4" t="s">
        <v>93</v>
      </c>
      <c r="AL144" s="4" t="s">
        <v>94</v>
      </c>
      <c r="AM144" s="4" t="s">
        <v>95</v>
      </c>
      <c r="AN144" s="4" t="s">
        <v>96</v>
      </c>
      <c r="AO144" s="4" t="s">
        <v>97</v>
      </c>
      <c r="AP144" s="4" t="s">
        <v>98</v>
      </c>
      <c r="AQ144" s="4" t="s">
        <v>99</v>
      </c>
      <c r="AR144" s="4" t="s">
        <v>100</v>
      </c>
    </row>
    <row r="145" spans="1:44" x14ac:dyDescent="0.2">
      <c r="A145" s="8" t="s">
        <v>645</v>
      </c>
      <c r="B145" s="8" t="s">
        <v>646</v>
      </c>
      <c r="C145" s="8" t="s">
        <v>647</v>
      </c>
      <c r="D145" s="8" t="s">
        <v>648</v>
      </c>
      <c r="E145" s="8" t="s">
        <v>962</v>
      </c>
      <c r="F145" s="5">
        <v>520</v>
      </c>
      <c r="G145" s="5"/>
      <c r="H145" s="12"/>
      <c r="I145" s="5" t="s">
        <v>785</v>
      </c>
      <c r="J145" s="5" t="s">
        <v>785</v>
      </c>
      <c r="K145" s="5">
        <v>1482</v>
      </c>
      <c r="L145" s="5">
        <v>416</v>
      </c>
      <c r="M145" s="6" t="s">
        <v>776</v>
      </c>
      <c r="N145" s="6">
        <v>0.19</v>
      </c>
      <c r="O145" s="8" t="s">
        <v>24</v>
      </c>
      <c r="P145" s="8" t="s">
        <v>41</v>
      </c>
      <c r="Q145" s="8" t="s">
        <v>780</v>
      </c>
      <c r="R145" s="8" t="s">
        <v>41</v>
      </c>
      <c r="S145" s="8">
        <v>2</v>
      </c>
      <c r="T145" s="8">
        <v>2</v>
      </c>
      <c r="U145" s="8">
        <v>411</v>
      </c>
      <c r="V145" s="8">
        <v>504</v>
      </c>
      <c r="W145" s="8">
        <f t="shared" si="8"/>
        <v>604</v>
      </c>
      <c r="X145" s="4" t="s">
        <v>767</v>
      </c>
      <c r="Y145" s="4"/>
      <c r="Z145" s="4" t="s">
        <v>768</v>
      </c>
      <c r="AA145" s="4">
        <v>5</v>
      </c>
      <c r="AB145" s="7">
        <v>32.5</v>
      </c>
      <c r="AC145" s="7">
        <f t="shared" si="9"/>
        <v>0.32171847158978423</v>
      </c>
      <c r="AD145" s="7">
        <v>101.02</v>
      </c>
      <c r="AE145" s="9">
        <v>46038</v>
      </c>
      <c r="AF145" s="9">
        <v>46038</v>
      </c>
      <c r="AG145" s="10">
        <v>0.66574074074074074</v>
      </c>
      <c r="AH145" s="4" t="s">
        <v>188</v>
      </c>
      <c r="AI145" s="4" t="s">
        <v>91</v>
      </c>
      <c r="AJ145" s="4" t="s">
        <v>92</v>
      </c>
      <c r="AK145" s="4" t="s">
        <v>93</v>
      </c>
      <c r="AL145" s="4" t="s">
        <v>94</v>
      </c>
      <c r="AM145" s="4" t="s">
        <v>95</v>
      </c>
      <c r="AN145" s="4" t="s">
        <v>96</v>
      </c>
      <c r="AO145" s="4" t="s">
        <v>97</v>
      </c>
      <c r="AP145" s="4" t="s">
        <v>98</v>
      </c>
      <c r="AQ145" s="4" t="s">
        <v>99</v>
      </c>
      <c r="AR145" s="4" t="s">
        <v>100</v>
      </c>
    </row>
    <row r="146" spans="1:44" x14ac:dyDescent="0.2">
      <c r="A146" s="8" t="s">
        <v>649</v>
      </c>
      <c r="B146" s="8" t="s">
        <v>650</v>
      </c>
      <c r="C146" s="8" t="s">
        <v>651</v>
      </c>
      <c r="D146" s="8" t="s">
        <v>652</v>
      </c>
      <c r="E146" s="8" t="s">
        <v>962</v>
      </c>
      <c r="F146" s="5">
        <v>553</v>
      </c>
      <c r="G146" s="5"/>
      <c r="H146" s="12"/>
      <c r="I146" s="5" t="s">
        <v>785</v>
      </c>
      <c r="J146" s="5" t="s">
        <v>785</v>
      </c>
      <c r="K146" s="5">
        <v>1482</v>
      </c>
      <c r="L146" s="5">
        <v>416</v>
      </c>
      <c r="M146" s="6" t="s">
        <v>776</v>
      </c>
      <c r="N146" s="6">
        <v>8.4000000000000005E-2</v>
      </c>
      <c r="O146" s="8" t="s">
        <v>24</v>
      </c>
      <c r="P146" s="8" t="s">
        <v>41</v>
      </c>
      <c r="Q146" s="8" t="s">
        <v>780</v>
      </c>
      <c r="R146" s="8" t="s">
        <v>41</v>
      </c>
      <c r="S146" s="8">
        <v>2</v>
      </c>
      <c r="T146" s="8">
        <v>2</v>
      </c>
      <c r="U146" s="8">
        <v>517</v>
      </c>
      <c r="V146" s="8">
        <v>540</v>
      </c>
      <c r="W146" s="8">
        <f t="shared" si="8"/>
        <v>640</v>
      </c>
      <c r="X146" s="4" t="s">
        <v>767</v>
      </c>
      <c r="Y146" s="4"/>
      <c r="Z146" s="4" t="s">
        <v>768</v>
      </c>
      <c r="AA146" s="4">
        <v>5</v>
      </c>
      <c r="AB146" s="7">
        <v>32.5</v>
      </c>
      <c r="AC146" s="7">
        <f t="shared" si="9"/>
        <v>0.32171847158978423</v>
      </c>
      <c r="AD146" s="7">
        <v>101.02</v>
      </c>
      <c r="AE146" s="9">
        <v>46038</v>
      </c>
      <c r="AF146" s="9">
        <v>46038</v>
      </c>
      <c r="AG146" s="10">
        <v>0.6658680555555555</v>
      </c>
      <c r="AH146" s="4" t="s">
        <v>188</v>
      </c>
      <c r="AI146" s="4" t="s">
        <v>91</v>
      </c>
      <c r="AJ146" s="4" t="s">
        <v>92</v>
      </c>
      <c r="AK146" s="4" t="s">
        <v>93</v>
      </c>
      <c r="AL146" s="4" t="s">
        <v>94</v>
      </c>
      <c r="AM146" s="4" t="s">
        <v>95</v>
      </c>
      <c r="AN146" s="4" t="s">
        <v>96</v>
      </c>
      <c r="AO146" s="4" t="s">
        <v>97</v>
      </c>
      <c r="AP146" s="4" t="s">
        <v>98</v>
      </c>
      <c r="AQ146" s="4" t="s">
        <v>99</v>
      </c>
      <c r="AR146" s="4" t="s">
        <v>100</v>
      </c>
    </row>
    <row r="147" spans="1:44" x14ac:dyDescent="0.2">
      <c r="A147" s="8" t="s">
        <v>653</v>
      </c>
      <c r="B147" s="8" t="s">
        <v>654</v>
      </c>
      <c r="C147" s="8" t="s">
        <v>655</v>
      </c>
      <c r="D147" s="8" t="s">
        <v>656</v>
      </c>
      <c r="E147" s="8" t="s">
        <v>962</v>
      </c>
      <c r="F147" s="5">
        <v>728</v>
      </c>
      <c r="G147" s="5"/>
      <c r="H147" s="12"/>
      <c r="I147" s="5" t="s">
        <v>785</v>
      </c>
      <c r="J147" s="5" t="s">
        <v>785</v>
      </c>
      <c r="K147" s="5">
        <v>1482</v>
      </c>
      <c r="L147" s="5">
        <v>416</v>
      </c>
      <c r="M147" s="6" t="s">
        <v>776</v>
      </c>
      <c r="N147" s="6">
        <v>0.107</v>
      </c>
      <c r="O147" s="8" t="s">
        <v>24</v>
      </c>
      <c r="P147" s="8" t="s">
        <v>41</v>
      </c>
      <c r="Q147" s="8" t="s">
        <v>780</v>
      </c>
      <c r="R147" s="8" t="s">
        <v>41</v>
      </c>
      <c r="S147" s="8">
        <v>2</v>
      </c>
      <c r="T147" s="8">
        <v>2</v>
      </c>
      <c r="U147" s="8">
        <v>669</v>
      </c>
      <c r="V147" s="8">
        <v>708</v>
      </c>
      <c r="W147" s="8">
        <f t="shared" si="8"/>
        <v>808</v>
      </c>
      <c r="X147" s="4" t="s">
        <v>767</v>
      </c>
      <c r="Y147" s="4"/>
      <c r="Z147" s="4" t="s">
        <v>768</v>
      </c>
      <c r="AA147" s="4">
        <v>5</v>
      </c>
      <c r="AB147" s="7">
        <v>32.5</v>
      </c>
      <c r="AC147" s="7">
        <f t="shared" si="9"/>
        <v>0.32171847158978423</v>
      </c>
      <c r="AD147" s="7">
        <v>101.02</v>
      </c>
      <c r="AE147" s="9">
        <v>46038</v>
      </c>
      <c r="AF147" s="9">
        <v>46038</v>
      </c>
      <c r="AG147" s="10">
        <v>0.66619212962962959</v>
      </c>
      <c r="AH147" s="4" t="s">
        <v>188</v>
      </c>
      <c r="AI147" s="4" t="s">
        <v>91</v>
      </c>
      <c r="AJ147" s="4" t="s">
        <v>92</v>
      </c>
      <c r="AK147" s="4" t="s">
        <v>93</v>
      </c>
      <c r="AL147" s="4" t="s">
        <v>94</v>
      </c>
      <c r="AM147" s="4" t="s">
        <v>95</v>
      </c>
      <c r="AN147" s="4" t="s">
        <v>96</v>
      </c>
      <c r="AO147" s="4" t="s">
        <v>97</v>
      </c>
      <c r="AP147" s="4" t="s">
        <v>98</v>
      </c>
      <c r="AQ147" s="4" t="s">
        <v>99</v>
      </c>
      <c r="AR147" s="4" t="s">
        <v>100</v>
      </c>
    </row>
    <row r="148" spans="1:44" x14ac:dyDescent="0.2">
      <c r="A148" s="8" t="s">
        <v>657</v>
      </c>
      <c r="B148" s="8" t="s">
        <v>658</v>
      </c>
      <c r="C148" s="8" t="s">
        <v>659</v>
      </c>
      <c r="D148" s="8" t="s">
        <v>660</v>
      </c>
      <c r="E148" s="8" t="s">
        <v>962</v>
      </c>
      <c r="F148" s="5">
        <v>595</v>
      </c>
      <c r="G148" s="5"/>
      <c r="H148" s="12"/>
      <c r="I148" s="5" t="s">
        <v>785</v>
      </c>
      <c r="J148" s="5" t="s">
        <v>785</v>
      </c>
      <c r="K148" s="5">
        <v>1482</v>
      </c>
      <c r="L148" s="5">
        <v>416</v>
      </c>
      <c r="M148" s="6" t="s">
        <v>776</v>
      </c>
      <c r="N148" s="6">
        <v>6.8000000000000005E-2</v>
      </c>
      <c r="O148" s="8" t="s">
        <v>24</v>
      </c>
      <c r="P148" s="8" t="s">
        <v>41</v>
      </c>
      <c r="Q148" s="8" t="s">
        <v>780</v>
      </c>
      <c r="R148" s="8" t="s">
        <v>41</v>
      </c>
      <c r="S148" s="8">
        <v>2</v>
      </c>
      <c r="T148" s="8">
        <v>2</v>
      </c>
      <c r="U148" s="8">
        <v>543</v>
      </c>
      <c r="V148" s="8">
        <v>580</v>
      </c>
      <c r="W148" s="8">
        <f t="shared" si="8"/>
        <v>680</v>
      </c>
      <c r="X148" s="4" t="s">
        <v>767</v>
      </c>
      <c r="Y148" s="4"/>
      <c r="Z148" s="4" t="s">
        <v>768</v>
      </c>
      <c r="AA148" s="4">
        <v>5</v>
      </c>
      <c r="AB148" s="7">
        <v>32.5</v>
      </c>
      <c r="AC148" s="7">
        <f t="shared" si="9"/>
        <v>0.32171847158978423</v>
      </c>
      <c r="AD148" s="7">
        <v>101.02</v>
      </c>
      <c r="AE148" s="9">
        <v>46038</v>
      </c>
      <c r="AF148" s="9">
        <v>46038</v>
      </c>
      <c r="AG148" s="10">
        <v>0.66636574074074073</v>
      </c>
      <c r="AH148" s="4" t="s">
        <v>188</v>
      </c>
      <c r="AI148" s="4" t="s">
        <v>91</v>
      </c>
      <c r="AJ148" s="4" t="s">
        <v>92</v>
      </c>
      <c r="AK148" s="4" t="s">
        <v>93</v>
      </c>
      <c r="AL148" s="4" t="s">
        <v>94</v>
      </c>
      <c r="AM148" s="4" t="s">
        <v>95</v>
      </c>
      <c r="AN148" s="4" t="s">
        <v>96</v>
      </c>
      <c r="AO148" s="4" t="s">
        <v>97</v>
      </c>
      <c r="AP148" s="4" t="s">
        <v>98</v>
      </c>
      <c r="AQ148" s="4" t="s">
        <v>99</v>
      </c>
      <c r="AR148" s="4" t="s">
        <v>100</v>
      </c>
    </row>
    <row r="149" spans="1:44" x14ac:dyDescent="0.2">
      <c r="A149" s="8" t="s">
        <v>661</v>
      </c>
      <c r="B149" s="8" t="s">
        <v>662</v>
      </c>
      <c r="C149" s="8" t="s">
        <v>663</v>
      </c>
      <c r="D149" s="8" t="s">
        <v>664</v>
      </c>
      <c r="E149" s="8" t="s">
        <v>962</v>
      </c>
      <c r="F149" s="5">
        <v>788</v>
      </c>
      <c r="G149" s="5"/>
      <c r="H149" s="12"/>
      <c r="I149" s="5" t="s">
        <v>785</v>
      </c>
      <c r="J149" s="5" t="s">
        <v>785</v>
      </c>
      <c r="K149" s="5">
        <v>1482</v>
      </c>
      <c r="L149" s="5">
        <v>416</v>
      </c>
      <c r="M149" s="6" t="s">
        <v>776</v>
      </c>
      <c r="N149" s="6">
        <v>0.15</v>
      </c>
      <c r="O149" s="8" t="s">
        <v>24</v>
      </c>
      <c r="P149" s="8" t="s">
        <v>41</v>
      </c>
      <c r="Q149" s="8" t="s">
        <v>780</v>
      </c>
      <c r="R149" s="8" t="s">
        <v>41</v>
      </c>
      <c r="S149" s="8">
        <v>2</v>
      </c>
      <c r="T149" s="8">
        <v>2</v>
      </c>
      <c r="U149" s="8">
        <v>589</v>
      </c>
      <c r="V149" s="8">
        <v>771</v>
      </c>
      <c r="W149" s="8">
        <f t="shared" si="8"/>
        <v>871</v>
      </c>
      <c r="X149" s="4" t="s">
        <v>767</v>
      </c>
      <c r="Y149" s="4"/>
      <c r="Z149" s="4" t="s">
        <v>768</v>
      </c>
      <c r="AA149" s="4">
        <v>5</v>
      </c>
      <c r="AB149" s="7">
        <v>32.5</v>
      </c>
      <c r="AC149" s="7">
        <f t="shared" si="9"/>
        <v>0.32171847158978423</v>
      </c>
      <c r="AD149" s="7">
        <v>101.02</v>
      </c>
      <c r="AE149" s="9">
        <v>46038</v>
      </c>
      <c r="AF149" s="9">
        <v>46038</v>
      </c>
      <c r="AG149" s="10">
        <v>0.66700231481481487</v>
      </c>
      <c r="AH149" s="4" t="s">
        <v>188</v>
      </c>
      <c r="AI149" s="4" t="s">
        <v>91</v>
      </c>
      <c r="AJ149" s="4" t="s">
        <v>92</v>
      </c>
      <c r="AK149" s="4" t="s">
        <v>93</v>
      </c>
      <c r="AL149" s="4" t="s">
        <v>94</v>
      </c>
      <c r="AM149" s="4" t="s">
        <v>95</v>
      </c>
      <c r="AN149" s="4" t="s">
        <v>96</v>
      </c>
      <c r="AO149" s="4" t="s">
        <v>97</v>
      </c>
      <c r="AP149" s="4" t="s">
        <v>98</v>
      </c>
      <c r="AQ149" s="4" t="s">
        <v>99</v>
      </c>
      <c r="AR149" s="4" t="s">
        <v>100</v>
      </c>
    </row>
    <row r="150" spans="1:44" x14ac:dyDescent="0.2">
      <c r="A150" s="8" t="s">
        <v>665</v>
      </c>
      <c r="B150" s="8" t="s">
        <v>666</v>
      </c>
      <c r="C150" s="8" t="s">
        <v>667</v>
      </c>
      <c r="D150" s="8" t="s">
        <v>668</v>
      </c>
      <c r="E150" s="8" t="s">
        <v>962</v>
      </c>
      <c r="F150" s="14"/>
      <c r="G150" s="14"/>
      <c r="H150" s="15" t="s">
        <v>968</v>
      </c>
      <c r="I150" s="5" t="s">
        <v>785</v>
      </c>
      <c r="J150" s="5" t="s">
        <v>785</v>
      </c>
      <c r="K150" s="5">
        <v>1482</v>
      </c>
      <c r="L150" s="5">
        <v>416</v>
      </c>
      <c r="M150" s="6" t="s">
        <v>776</v>
      </c>
      <c r="N150" s="6">
        <v>0.248</v>
      </c>
      <c r="O150" s="8" t="s">
        <v>24</v>
      </c>
      <c r="P150" s="8" t="s">
        <v>41</v>
      </c>
      <c r="Q150" s="8" t="s">
        <v>780</v>
      </c>
      <c r="R150" s="8" t="s">
        <v>41</v>
      </c>
      <c r="S150" s="8">
        <v>2</v>
      </c>
      <c r="T150" s="8">
        <v>2</v>
      </c>
      <c r="U150" s="8">
        <v>804</v>
      </c>
      <c r="V150" s="8">
        <v>836</v>
      </c>
      <c r="W150" s="8">
        <f t="shared" si="8"/>
        <v>936</v>
      </c>
      <c r="X150" s="4" t="s">
        <v>767</v>
      </c>
      <c r="Y150" s="4"/>
      <c r="Z150" s="4" t="s">
        <v>768</v>
      </c>
      <c r="AA150" s="4">
        <v>5</v>
      </c>
      <c r="AB150" s="7">
        <v>32.5</v>
      </c>
      <c r="AC150" s="7">
        <f t="shared" si="9"/>
        <v>0.32171847158978423</v>
      </c>
      <c r="AD150" s="7">
        <v>101.02</v>
      </c>
      <c r="AE150" s="9">
        <v>46038</v>
      </c>
      <c r="AF150" s="9">
        <v>46038</v>
      </c>
      <c r="AG150" s="10">
        <v>0.66736111111111107</v>
      </c>
      <c r="AH150" s="4" t="s">
        <v>188</v>
      </c>
      <c r="AI150" s="4" t="s">
        <v>91</v>
      </c>
      <c r="AJ150" s="4" t="s">
        <v>92</v>
      </c>
      <c r="AK150" s="4" t="s">
        <v>93</v>
      </c>
      <c r="AL150" s="4" t="s">
        <v>94</v>
      </c>
      <c r="AM150" s="4" t="s">
        <v>95</v>
      </c>
      <c r="AN150" s="4" t="s">
        <v>96</v>
      </c>
      <c r="AO150" s="4" t="s">
        <v>97</v>
      </c>
      <c r="AP150" s="4" t="s">
        <v>98</v>
      </c>
      <c r="AQ150" s="4" t="s">
        <v>99</v>
      </c>
      <c r="AR150" s="4" t="s">
        <v>100</v>
      </c>
    </row>
    <row r="151" spans="1:44" x14ac:dyDescent="0.2">
      <c r="A151" s="8" t="s">
        <v>669</v>
      </c>
      <c r="B151" s="8" t="s">
        <v>670</v>
      </c>
      <c r="C151" s="8" t="s">
        <v>671</v>
      </c>
      <c r="D151" s="8" t="s">
        <v>672</v>
      </c>
      <c r="E151" s="8" t="s">
        <v>962</v>
      </c>
      <c r="F151" s="14"/>
      <c r="G151" s="14"/>
      <c r="H151" s="15" t="s">
        <v>968</v>
      </c>
      <c r="I151" s="5" t="s">
        <v>785</v>
      </c>
      <c r="J151" s="5" t="s">
        <v>785</v>
      </c>
      <c r="K151" s="5">
        <v>1482</v>
      </c>
      <c r="L151" s="5">
        <v>416</v>
      </c>
      <c r="M151" s="6" t="s">
        <v>776</v>
      </c>
      <c r="N151" s="6">
        <v>8.4000000000000005E-2</v>
      </c>
      <c r="O151" s="8" t="s">
        <v>24</v>
      </c>
      <c r="P151" s="8" t="s">
        <v>41</v>
      </c>
      <c r="Q151" s="8" t="s">
        <v>780</v>
      </c>
      <c r="R151" s="8" t="s">
        <v>41</v>
      </c>
      <c r="S151" s="8">
        <v>2</v>
      </c>
      <c r="T151" s="8">
        <v>2</v>
      </c>
      <c r="U151" s="8">
        <v>592</v>
      </c>
      <c r="V151" s="8">
        <v>615</v>
      </c>
      <c r="W151" s="8">
        <f t="shared" si="8"/>
        <v>715</v>
      </c>
      <c r="X151" s="4" t="s">
        <v>767</v>
      </c>
      <c r="Y151" s="4"/>
      <c r="Z151" s="4" t="s">
        <v>768</v>
      </c>
      <c r="AA151" s="4">
        <v>5</v>
      </c>
      <c r="AB151" s="7">
        <v>32.5</v>
      </c>
      <c r="AC151" s="7">
        <f t="shared" si="9"/>
        <v>0.32171847158978423</v>
      </c>
      <c r="AD151" s="7">
        <v>101.02</v>
      </c>
      <c r="AE151" s="9">
        <v>46038</v>
      </c>
      <c r="AF151" s="9">
        <v>46038</v>
      </c>
      <c r="AG151" s="10">
        <v>0.66752314814814817</v>
      </c>
      <c r="AH151" s="4" t="s">
        <v>188</v>
      </c>
      <c r="AI151" s="4" t="s">
        <v>91</v>
      </c>
      <c r="AJ151" s="4" t="s">
        <v>92</v>
      </c>
      <c r="AK151" s="4" t="s">
        <v>93</v>
      </c>
      <c r="AL151" s="4" t="s">
        <v>94</v>
      </c>
      <c r="AM151" s="4" t="s">
        <v>95</v>
      </c>
      <c r="AN151" s="4" t="s">
        <v>96</v>
      </c>
      <c r="AO151" s="4" t="s">
        <v>97</v>
      </c>
      <c r="AP151" s="4" t="s">
        <v>98</v>
      </c>
      <c r="AQ151" s="4" t="s">
        <v>99</v>
      </c>
      <c r="AR151" s="4" t="s">
        <v>100</v>
      </c>
    </row>
    <row r="152" spans="1:44" x14ac:dyDescent="0.2">
      <c r="A152" s="8" t="s">
        <v>673</v>
      </c>
      <c r="B152" s="8" t="s">
        <v>674</v>
      </c>
      <c r="C152" s="8" t="s">
        <v>675</v>
      </c>
      <c r="D152" s="8" t="s">
        <v>676</v>
      </c>
      <c r="E152" s="8" t="s">
        <v>962</v>
      </c>
      <c r="F152" s="5">
        <v>496</v>
      </c>
      <c r="G152" s="5"/>
      <c r="H152" s="12"/>
      <c r="I152" s="5" t="s">
        <v>785</v>
      </c>
      <c r="J152" s="5" t="s">
        <v>785</v>
      </c>
      <c r="K152" s="5">
        <v>1482</v>
      </c>
      <c r="L152" s="5">
        <v>416</v>
      </c>
      <c r="M152" s="6" t="s">
        <v>776</v>
      </c>
      <c r="N152" s="6">
        <v>0.09</v>
      </c>
      <c r="O152" s="8" t="s">
        <v>24</v>
      </c>
      <c r="P152" s="8" t="s">
        <v>41</v>
      </c>
      <c r="Q152" s="8" t="s">
        <v>780</v>
      </c>
      <c r="R152" s="8" t="s">
        <v>41</v>
      </c>
      <c r="S152" s="8">
        <v>2</v>
      </c>
      <c r="T152" s="8">
        <v>2</v>
      </c>
      <c r="U152" s="8">
        <v>455</v>
      </c>
      <c r="V152" s="8">
        <v>480</v>
      </c>
      <c r="W152" s="8">
        <f t="shared" si="8"/>
        <v>580</v>
      </c>
      <c r="X152" s="4" t="s">
        <v>767</v>
      </c>
      <c r="Y152" s="4"/>
      <c r="Z152" s="4" t="s">
        <v>768</v>
      </c>
      <c r="AA152" s="4">
        <v>5</v>
      </c>
      <c r="AB152" s="7">
        <v>32.5</v>
      </c>
      <c r="AC152" s="7">
        <f t="shared" si="9"/>
        <v>0.32171847158978423</v>
      </c>
      <c r="AD152" s="7">
        <v>101.02</v>
      </c>
      <c r="AE152" s="9">
        <v>46038</v>
      </c>
      <c r="AF152" s="9">
        <v>46038</v>
      </c>
      <c r="AG152" s="10">
        <v>0.66762731481481485</v>
      </c>
      <c r="AH152" s="4" t="s">
        <v>188</v>
      </c>
      <c r="AI152" s="4" t="s">
        <v>91</v>
      </c>
      <c r="AJ152" s="4" t="s">
        <v>92</v>
      </c>
      <c r="AK152" s="4" t="s">
        <v>93</v>
      </c>
      <c r="AL152" s="4" t="s">
        <v>94</v>
      </c>
      <c r="AM152" s="4" t="s">
        <v>95</v>
      </c>
      <c r="AN152" s="4" t="s">
        <v>96</v>
      </c>
      <c r="AO152" s="4" t="s">
        <v>97</v>
      </c>
      <c r="AP152" s="4" t="s">
        <v>98</v>
      </c>
      <c r="AQ152" s="4" t="s">
        <v>99</v>
      </c>
      <c r="AR152" s="4" t="s">
        <v>100</v>
      </c>
    </row>
    <row r="153" spans="1:44" x14ac:dyDescent="0.2">
      <c r="A153" s="8" t="s">
        <v>677</v>
      </c>
      <c r="B153" s="8" t="s">
        <v>678</v>
      </c>
      <c r="C153" s="8" t="s">
        <v>679</v>
      </c>
      <c r="D153" s="8" t="s">
        <v>680</v>
      </c>
      <c r="E153" s="8" t="s">
        <v>962</v>
      </c>
      <c r="F153" s="5">
        <v>631</v>
      </c>
      <c r="G153" s="5"/>
      <c r="H153" s="12"/>
      <c r="I153" s="5" t="s">
        <v>785</v>
      </c>
      <c r="J153" s="5" t="s">
        <v>785</v>
      </c>
      <c r="K153" s="5">
        <v>1482</v>
      </c>
      <c r="L153" s="5">
        <v>416</v>
      </c>
      <c r="M153" s="6" t="s">
        <v>776</v>
      </c>
      <c r="N153" s="6">
        <v>0.14099999999999999</v>
      </c>
      <c r="O153" s="8" t="s">
        <v>24</v>
      </c>
      <c r="P153" s="8" t="s">
        <v>41</v>
      </c>
      <c r="Q153" s="8" t="s">
        <v>780</v>
      </c>
      <c r="R153" s="8" t="s">
        <v>41</v>
      </c>
      <c r="S153" s="8">
        <v>2</v>
      </c>
      <c r="T153" s="8">
        <v>2</v>
      </c>
      <c r="U153" s="8">
        <v>580</v>
      </c>
      <c r="V153" s="8">
        <v>615</v>
      </c>
      <c r="W153" s="8">
        <f t="shared" si="8"/>
        <v>715</v>
      </c>
      <c r="X153" s="4" t="s">
        <v>767</v>
      </c>
      <c r="Y153" s="4"/>
      <c r="Z153" s="4" t="s">
        <v>768</v>
      </c>
      <c r="AA153" s="4">
        <v>5</v>
      </c>
      <c r="AB153" s="7">
        <v>32.5</v>
      </c>
      <c r="AC153" s="7">
        <f t="shared" si="9"/>
        <v>0.32171847158978423</v>
      </c>
      <c r="AD153" s="7">
        <v>101.02</v>
      </c>
      <c r="AE153" s="9">
        <v>46038</v>
      </c>
      <c r="AF153" s="9">
        <v>46038</v>
      </c>
      <c r="AG153" s="10">
        <v>0.6677777777777778</v>
      </c>
      <c r="AH153" s="4" t="s">
        <v>188</v>
      </c>
      <c r="AI153" s="4" t="s">
        <v>91</v>
      </c>
      <c r="AJ153" s="4" t="s">
        <v>92</v>
      </c>
      <c r="AK153" s="4" t="s">
        <v>93</v>
      </c>
      <c r="AL153" s="4" t="s">
        <v>94</v>
      </c>
      <c r="AM153" s="4" t="s">
        <v>95</v>
      </c>
      <c r="AN153" s="4" t="s">
        <v>96</v>
      </c>
      <c r="AO153" s="4" t="s">
        <v>97</v>
      </c>
      <c r="AP153" s="4" t="s">
        <v>98</v>
      </c>
      <c r="AQ153" s="4" t="s">
        <v>99</v>
      </c>
      <c r="AR153" s="4" t="s">
        <v>100</v>
      </c>
    </row>
    <row r="154" spans="1:44" x14ac:dyDescent="0.2">
      <c r="A154" s="8" t="s">
        <v>681</v>
      </c>
      <c r="B154" s="8" t="s">
        <v>682</v>
      </c>
      <c r="C154" s="8" t="s">
        <v>683</v>
      </c>
      <c r="D154" s="8" t="s">
        <v>684</v>
      </c>
      <c r="E154" s="8" t="s">
        <v>962</v>
      </c>
      <c r="F154" s="5">
        <v>491</v>
      </c>
      <c r="G154" s="5"/>
      <c r="H154" s="12"/>
      <c r="I154" s="5" t="s">
        <v>786</v>
      </c>
      <c r="J154" s="5" t="s">
        <v>786</v>
      </c>
      <c r="K154" s="5">
        <v>1478</v>
      </c>
      <c r="L154" s="5">
        <v>410</v>
      </c>
      <c r="M154" s="6" t="s">
        <v>776</v>
      </c>
      <c r="N154" s="6">
        <v>0.11</v>
      </c>
      <c r="O154" s="8" t="s">
        <v>24</v>
      </c>
      <c r="P154" s="8" t="s">
        <v>41</v>
      </c>
      <c r="Q154" s="8" t="s">
        <v>780</v>
      </c>
      <c r="R154" s="8" t="s">
        <v>41</v>
      </c>
      <c r="S154" s="8">
        <v>2</v>
      </c>
      <c r="T154" s="8">
        <v>2</v>
      </c>
      <c r="U154" s="8">
        <v>445</v>
      </c>
      <c r="V154" s="8">
        <v>481</v>
      </c>
      <c r="W154" s="8">
        <f t="shared" si="8"/>
        <v>581</v>
      </c>
      <c r="X154" s="4" t="s">
        <v>767</v>
      </c>
      <c r="Y154" s="4"/>
      <c r="Z154" s="4" t="s">
        <v>768</v>
      </c>
      <c r="AA154" s="4">
        <v>5</v>
      </c>
      <c r="AB154" s="7">
        <v>32.5</v>
      </c>
      <c r="AC154" s="7">
        <f t="shared" si="9"/>
        <v>0.32171847158978423</v>
      </c>
      <c r="AD154" s="7">
        <v>101.02</v>
      </c>
      <c r="AE154" s="9">
        <v>46038</v>
      </c>
      <c r="AF154" s="9">
        <v>46038</v>
      </c>
      <c r="AG154" s="10">
        <v>0.66524305555555552</v>
      </c>
      <c r="AH154" s="4" t="s">
        <v>188</v>
      </c>
      <c r="AI154" s="4" t="s">
        <v>91</v>
      </c>
      <c r="AJ154" s="4" t="s">
        <v>92</v>
      </c>
      <c r="AK154" s="4" t="s">
        <v>93</v>
      </c>
      <c r="AL154" s="4" t="s">
        <v>94</v>
      </c>
      <c r="AM154" s="4" t="s">
        <v>95</v>
      </c>
      <c r="AN154" s="4" t="s">
        <v>96</v>
      </c>
      <c r="AO154" s="4" t="s">
        <v>97</v>
      </c>
      <c r="AP154" s="4" t="s">
        <v>98</v>
      </c>
      <c r="AQ154" s="4" t="s">
        <v>99</v>
      </c>
      <c r="AR154" s="4" t="s">
        <v>100</v>
      </c>
    </row>
    <row r="155" spans="1:44" x14ac:dyDescent="0.2">
      <c r="A155" s="8" t="s">
        <v>689</v>
      </c>
      <c r="B155" s="8" t="s">
        <v>690</v>
      </c>
      <c r="C155" s="8" t="s">
        <v>691</v>
      </c>
      <c r="D155" s="8" t="s">
        <v>692</v>
      </c>
      <c r="E155" s="8" t="s">
        <v>962</v>
      </c>
      <c r="F155" s="5">
        <v>563</v>
      </c>
      <c r="G155" s="5"/>
      <c r="H155" s="12"/>
      <c r="I155" s="5" t="s">
        <v>786</v>
      </c>
      <c r="J155" s="5" t="s">
        <v>786</v>
      </c>
      <c r="K155" s="5">
        <v>1484</v>
      </c>
      <c r="L155" s="5">
        <v>416</v>
      </c>
      <c r="M155" s="6" t="s">
        <v>776</v>
      </c>
      <c r="N155" s="6">
        <v>5.3999999999999999E-2</v>
      </c>
      <c r="O155" s="8" t="s">
        <v>24</v>
      </c>
      <c r="P155" s="8" t="s">
        <v>25</v>
      </c>
      <c r="Q155" s="8" t="s">
        <v>779</v>
      </c>
      <c r="R155" s="8" t="s">
        <v>25</v>
      </c>
      <c r="S155" s="8">
        <v>3</v>
      </c>
      <c r="T155" s="8">
        <v>3</v>
      </c>
      <c r="U155" s="8">
        <v>458</v>
      </c>
      <c r="V155" s="8">
        <v>533</v>
      </c>
      <c r="W155" s="8">
        <f t="shared" si="8"/>
        <v>633</v>
      </c>
      <c r="X155" s="4" t="s">
        <v>767</v>
      </c>
      <c r="Y155" s="4"/>
      <c r="Z155" s="4" t="s">
        <v>768</v>
      </c>
      <c r="AA155" s="4">
        <v>5</v>
      </c>
      <c r="AB155" s="7">
        <v>32.5</v>
      </c>
      <c r="AC155" s="7">
        <f t="shared" si="9"/>
        <v>0.32171847158978423</v>
      </c>
      <c r="AD155" s="7">
        <v>101.02</v>
      </c>
      <c r="AE155" s="9">
        <v>46038</v>
      </c>
      <c r="AF155" s="9">
        <v>46038</v>
      </c>
      <c r="AG155" s="10">
        <v>0.64167824074074076</v>
      </c>
      <c r="AH155" s="4" t="s">
        <v>188</v>
      </c>
      <c r="AI155" s="4" t="s">
        <v>91</v>
      </c>
      <c r="AJ155" s="4" t="s">
        <v>92</v>
      </c>
      <c r="AK155" s="4" t="s">
        <v>93</v>
      </c>
      <c r="AL155" s="4" t="s">
        <v>94</v>
      </c>
      <c r="AM155" s="4" t="s">
        <v>95</v>
      </c>
      <c r="AN155" s="4" t="s">
        <v>96</v>
      </c>
      <c r="AO155" s="4" t="s">
        <v>97</v>
      </c>
      <c r="AP155" s="4" t="s">
        <v>98</v>
      </c>
      <c r="AQ155" s="4" t="s">
        <v>99</v>
      </c>
      <c r="AR155" s="4" t="s">
        <v>100</v>
      </c>
    </row>
    <row r="156" spans="1:44" x14ac:dyDescent="0.2">
      <c r="A156" s="8" t="s">
        <v>693</v>
      </c>
      <c r="B156" s="8" t="s">
        <v>694</v>
      </c>
      <c r="C156" s="8" t="s">
        <v>695</v>
      </c>
      <c r="D156" s="8" t="s">
        <v>696</v>
      </c>
      <c r="E156" s="8" t="s">
        <v>962</v>
      </c>
      <c r="F156" s="5">
        <v>383</v>
      </c>
      <c r="G156" s="5"/>
      <c r="H156" s="12"/>
      <c r="I156" s="5" t="s">
        <v>786</v>
      </c>
      <c r="J156" s="5" t="s">
        <v>786</v>
      </c>
      <c r="K156" s="5">
        <v>1484</v>
      </c>
      <c r="L156" s="5">
        <v>416</v>
      </c>
      <c r="M156" s="6" t="s">
        <v>776</v>
      </c>
      <c r="N156" s="6">
        <v>9.8000000000000004E-2</v>
      </c>
      <c r="O156" s="8" t="s">
        <v>24</v>
      </c>
      <c r="P156" s="8" t="s">
        <v>25</v>
      </c>
      <c r="Q156" s="8" t="s">
        <v>779</v>
      </c>
      <c r="R156" s="8" t="s">
        <v>25</v>
      </c>
      <c r="S156" s="8">
        <v>3</v>
      </c>
      <c r="T156" s="8">
        <v>3</v>
      </c>
      <c r="U156" s="8">
        <v>6</v>
      </c>
      <c r="V156" s="8">
        <v>366</v>
      </c>
      <c r="W156" s="8">
        <f t="shared" si="8"/>
        <v>466</v>
      </c>
      <c r="X156" s="4" t="s">
        <v>767</v>
      </c>
      <c r="Y156" s="4"/>
      <c r="Z156" s="4" t="s">
        <v>768</v>
      </c>
      <c r="AA156" s="4">
        <v>5</v>
      </c>
      <c r="AB156" s="7">
        <v>32.5</v>
      </c>
      <c r="AC156" s="7">
        <f t="shared" si="9"/>
        <v>0.32171847158978423</v>
      </c>
      <c r="AD156" s="7">
        <v>101.02</v>
      </c>
      <c r="AE156" s="9">
        <v>46038</v>
      </c>
      <c r="AF156" s="9">
        <v>46038</v>
      </c>
      <c r="AG156" s="10">
        <v>0.64192129629629635</v>
      </c>
      <c r="AH156" s="4" t="s">
        <v>188</v>
      </c>
      <c r="AI156" s="4" t="s">
        <v>91</v>
      </c>
      <c r="AJ156" s="4" t="s">
        <v>92</v>
      </c>
      <c r="AK156" s="4" t="s">
        <v>93</v>
      </c>
      <c r="AL156" s="4" t="s">
        <v>94</v>
      </c>
      <c r="AM156" s="4" t="s">
        <v>95</v>
      </c>
      <c r="AN156" s="4" t="s">
        <v>96</v>
      </c>
      <c r="AO156" s="4" t="s">
        <v>97</v>
      </c>
      <c r="AP156" s="4" t="s">
        <v>98</v>
      </c>
      <c r="AQ156" s="4" t="s">
        <v>99</v>
      </c>
      <c r="AR156" s="4" t="s">
        <v>100</v>
      </c>
    </row>
    <row r="157" spans="1:44" x14ac:dyDescent="0.2">
      <c r="A157" s="8" t="s">
        <v>697</v>
      </c>
      <c r="B157" s="8" t="s">
        <v>698</v>
      </c>
      <c r="C157" s="8" t="s">
        <v>699</v>
      </c>
      <c r="D157" s="8" t="s">
        <v>700</v>
      </c>
      <c r="E157" s="8" t="s">
        <v>962</v>
      </c>
      <c r="F157" s="5">
        <v>629</v>
      </c>
      <c r="G157" s="5"/>
      <c r="H157" s="12"/>
      <c r="I157" s="5" t="s">
        <v>785</v>
      </c>
      <c r="J157" s="5" t="s">
        <v>785</v>
      </c>
      <c r="K157" s="5">
        <v>1484</v>
      </c>
      <c r="L157" s="5">
        <v>416</v>
      </c>
      <c r="M157" s="6" t="s">
        <v>776</v>
      </c>
      <c r="N157" s="6">
        <v>0.188</v>
      </c>
      <c r="O157" s="8" t="s">
        <v>24</v>
      </c>
      <c r="P157" s="8" t="s">
        <v>25</v>
      </c>
      <c r="Q157" s="8" t="s">
        <v>779</v>
      </c>
      <c r="R157" s="8" t="s">
        <v>25</v>
      </c>
      <c r="S157" s="8">
        <v>3</v>
      </c>
      <c r="T157" s="8">
        <v>3</v>
      </c>
      <c r="U157" s="8">
        <v>385</v>
      </c>
      <c r="V157" s="8">
        <v>556</v>
      </c>
      <c r="W157" s="8">
        <f t="shared" si="8"/>
        <v>656</v>
      </c>
      <c r="X157" s="4" t="s">
        <v>767</v>
      </c>
      <c r="Y157" s="4"/>
      <c r="Z157" s="4" t="s">
        <v>768</v>
      </c>
      <c r="AA157" s="4">
        <v>5</v>
      </c>
      <c r="AB157" s="7">
        <v>32.5</v>
      </c>
      <c r="AC157" s="7">
        <f t="shared" si="9"/>
        <v>0.32171847158978423</v>
      </c>
      <c r="AD157" s="7">
        <v>101.02</v>
      </c>
      <c r="AE157" s="9">
        <v>46038</v>
      </c>
      <c r="AF157" s="9">
        <v>46038</v>
      </c>
      <c r="AG157" s="10">
        <v>0.64322916666666663</v>
      </c>
      <c r="AH157" s="4" t="s">
        <v>188</v>
      </c>
      <c r="AI157" s="4" t="s">
        <v>91</v>
      </c>
      <c r="AJ157" s="4" t="s">
        <v>92</v>
      </c>
      <c r="AK157" s="4" t="s">
        <v>93</v>
      </c>
      <c r="AL157" s="4" t="s">
        <v>94</v>
      </c>
      <c r="AM157" s="4" t="s">
        <v>95</v>
      </c>
      <c r="AN157" s="4" t="s">
        <v>96</v>
      </c>
      <c r="AO157" s="4" t="s">
        <v>97</v>
      </c>
      <c r="AP157" s="4" t="s">
        <v>98</v>
      </c>
      <c r="AQ157" s="4" t="s">
        <v>99</v>
      </c>
      <c r="AR157" s="4" t="s">
        <v>100</v>
      </c>
    </row>
    <row r="158" spans="1:44" x14ac:dyDescent="0.2">
      <c r="A158" s="8" t="s">
        <v>701</v>
      </c>
      <c r="B158" s="8" t="s">
        <v>702</v>
      </c>
      <c r="C158" s="8" t="s">
        <v>703</v>
      </c>
      <c r="D158" s="8" t="s">
        <v>704</v>
      </c>
      <c r="E158" s="8" t="s">
        <v>962</v>
      </c>
      <c r="F158" s="5">
        <v>618</v>
      </c>
      <c r="G158" s="5"/>
      <c r="H158" s="12"/>
      <c r="I158" s="5" t="s">
        <v>785</v>
      </c>
      <c r="J158" s="5" t="s">
        <v>785</v>
      </c>
      <c r="K158" s="5">
        <v>1484</v>
      </c>
      <c r="L158" s="5">
        <v>416</v>
      </c>
      <c r="M158" s="6" t="s">
        <v>776</v>
      </c>
      <c r="N158" s="6">
        <v>6.8000000000000005E-2</v>
      </c>
      <c r="O158" s="8" t="s">
        <v>24</v>
      </c>
      <c r="P158" s="8" t="s">
        <v>25</v>
      </c>
      <c r="Q158" s="8" t="s">
        <v>779</v>
      </c>
      <c r="R158" s="8" t="s">
        <v>25</v>
      </c>
      <c r="S158" s="8">
        <v>3</v>
      </c>
      <c r="T158" s="8">
        <v>3</v>
      </c>
      <c r="U158" s="8">
        <v>41</v>
      </c>
      <c r="V158" s="8">
        <v>388</v>
      </c>
      <c r="W158" s="8">
        <f t="shared" si="8"/>
        <v>488</v>
      </c>
      <c r="X158" s="4" t="s">
        <v>767</v>
      </c>
      <c r="Y158" s="4"/>
      <c r="Z158" s="4" t="s">
        <v>768</v>
      </c>
      <c r="AA158" s="4">
        <v>5</v>
      </c>
      <c r="AB158" s="7">
        <v>32.5</v>
      </c>
      <c r="AC158" s="7">
        <f t="shared" si="9"/>
        <v>0.32171847158978423</v>
      </c>
      <c r="AD158" s="7">
        <v>101.02</v>
      </c>
      <c r="AE158" s="9">
        <v>46038</v>
      </c>
      <c r="AF158" s="9">
        <v>46038</v>
      </c>
      <c r="AG158" s="10">
        <v>0.64478009259259261</v>
      </c>
      <c r="AH158" s="4" t="s">
        <v>188</v>
      </c>
      <c r="AI158" s="4" t="s">
        <v>91</v>
      </c>
      <c r="AJ158" s="4" t="s">
        <v>92</v>
      </c>
      <c r="AK158" s="4" t="s">
        <v>93</v>
      </c>
      <c r="AL158" s="4" t="s">
        <v>94</v>
      </c>
      <c r="AM158" s="4" t="s">
        <v>95</v>
      </c>
      <c r="AN158" s="4" t="s">
        <v>96</v>
      </c>
      <c r="AO158" s="4" t="s">
        <v>97</v>
      </c>
      <c r="AP158" s="4" t="s">
        <v>98</v>
      </c>
      <c r="AQ158" s="4" t="s">
        <v>99</v>
      </c>
      <c r="AR158" s="4" t="s">
        <v>100</v>
      </c>
    </row>
    <row r="159" spans="1:44" x14ac:dyDescent="0.2">
      <c r="A159" s="8" t="s">
        <v>705</v>
      </c>
      <c r="B159" s="8" t="s">
        <v>706</v>
      </c>
      <c r="C159" s="8" t="s">
        <v>707</v>
      </c>
      <c r="D159" s="8" t="s">
        <v>708</v>
      </c>
      <c r="E159" s="8" t="s">
        <v>962</v>
      </c>
      <c r="F159" s="5">
        <v>283</v>
      </c>
      <c r="G159" s="5"/>
      <c r="H159" s="12"/>
      <c r="I159" s="5" t="s">
        <v>785</v>
      </c>
      <c r="J159" s="5" t="s">
        <v>785</v>
      </c>
      <c r="K159" s="5">
        <v>1484</v>
      </c>
      <c r="L159" s="5">
        <v>416</v>
      </c>
      <c r="M159" s="6" t="s">
        <v>776</v>
      </c>
      <c r="N159" s="6">
        <v>0.10199999999999999</v>
      </c>
      <c r="O159" s="8" t="s">
        <v>24</v>
      </c>
      <c r="P159" s="8" t="s">
        <v>25</v>
      </c>
      <c r="Q159" s="8" t="s">
        <v>779</v>
      </c>
      <c r="R159" s="8" t="s">
        <v>25</v>
      </c>
      <c r="S159" s="8">
        <v>3</v>
      </c>
      <c r="T159" s="8">
        <v>3</v>
      </c>
      <c r="U159" s="8">
        <v>77</v>
      </c>
      <c r="V159" s="8">
        <v>144</v>
      </c>
      <c r="W159" s="8">
        <f t="shared" si="8"/>
        <v>244</v>
      </c>
      <c r="X159" s="4" t="s">
        <v>767</v>
      </c>
      <c r="Y159" s="4"/>
      <c r="Z159" s="4" t="s">
        <v>768</v>
      </c>
      <c r="AA159" s="4">
        <v>5</v>
      </c>
      <c r="AB159" s="7">
        <v>32.5</v>
      </c>
      <c r="AC159" s="7">
        <f t="shared" si="9"/>
        <v>0.32171847158978423</v>
      </c>
      <c r="AD159" s="7">
        <v>101.02</v>
      </c>
      <c r="AE159" s="9">
        <v>46038</v>
      </c>
      <c r="AF159" s="9">
        <v>46038</v>
      </c>
      <c r="AG159" s="10">
        <v>0.64567129629629627</v>
      </c>
      <c r="AH159" s="4" t="s">
        <v>188</v>
      </c>
      <c r="AI159" s="4" t="s">
        <v>91</v>
      </c>
      <c r="AJ159" s="4" t="s">
        <v>92</v>
      </c>
      <c r="AK159" s="4" t="s">
        <v>93</v>
      </c>
      <c r="AL159" s="4" t="s">
        <v>94</v>
      </c>
      <c r="AM159" s="4" t="s">
        <v>95</v>
      </c>
      <c r="AN159" s="4" t="s">
        <v>96</v>
      </c>
      <c r="AO159" s="4" t="s">
        <v>97</v>
      </c>
      <c r="AP159" s="4" t="s">
        <v>98</v>
      </c>
      <c r="AQ159" s="4" t="s">
        <v>99</v>
      </c>
      <c r="AR159" s="4" t="s">
        <v>100</v>
      </c>
    </row>
    <row r="160" spans="1:44" x14ac:dyDescent="0.2">
      <c r="A160" s="8" t="s">
        <v>709</v>
      </c>
      <c r="B160" s="8" t="s">
        <v>710</v>
      </c>
      <c r="C160" s="8" t="s">
        <v>711</v>
      </c>
      <c r="D160" s="8" t="s">
        <v>712</v>
      </c>
      <c r="E160" s="8" t="s">
        <v>962</v>
      </c>
      <c r="F160" s="14"/>
      <c r="G160" s="14"/>
      <c r="H160" s="15" t="s">
        <v>968</v>
      </c>
      <c r="I160" s="5" t="s">
        <v>785</v>
      </c>
      <c r="J160" s="5" t="s">
        <v>785</v>
      </c>
      <c r="K160" s="5">
        <v>1484</v>
      </c>
      <c r="L160" s="5">
        <v>416</v>
      </c>
      <c r="M160" s="6" t="s">
        <v>776</v>
      </c>
      <c r="N160" s="6">
        <v>0.14599999999999999</v>
      </c>
      <c r="O160" s="8" t="s">
        <v>24</v>
      </c>
      <c r="P160" s="8" t="s">
        <v>25</v>
      </c>
      <c r="Q160" s="8" t="s">
        <v>779</v>
      </c>
      <c r="R160" s="8" t="s">
        <v>25</v>
      </c>
      <c r="S160" s="8">
        <v>3</v>
      </c>
      <c r="T160" s="8">
        <v>3</v>
      </c>
      <c r="U160" s="8">
        <v>296</v>
      </c>
      <c r="V160" s="8">
        <v>379</v>
      </c>
      <c r="W160" s="8">
        <f t="shared" si="8"/>
        <v>479</v>
      </c>
      <c r="X160" s="4" t="s">
        <v>767</v>
      </c>
      <c r="Y160" s="4"/>
      <c r="Z160" s="4" t="s">
        <v>768</v>
      </c>
      <c r="AA160" s="4">
        <v>5</v>
      </c>
      <c r="AB160" s="7">
        <v>32.5</v>
      </c>
      <c r="AC160" s="7">
        <f t="shared" si="9"/>
        <v>0.32171847158978423</v>
      </c>
      <c r="AD160" s="7">
        <v>101.02</v>
      </c>
      <c r="AE160" s="9">
        <v>46038</v>
      </c>
      <c r="AF160" s="9">
        <v>46038</v>
      </c>
      <c r="AG160" s="10">
        <v>0.64590277777777783</v>
      </c>
      <c r="AH160" s="4" t="s">
        <v>188</v>
      </c>
      <c r="AI160" s="4" t="s">
        <v>91</v>
      </c>
      <c r="AJ160" s="4" t="s">
        <v>92</v>
      </c>
      <c r="AK160" s="4" t="s">
        <v>93</v>
      </c>
      <c r="AL160" s="4" t="s">
        <v>94</v>
      </c>
      <c r="AM160" s="4" t="s">
        <v>95</v>
      </c>
      <c r="AN160" s="4" t="s">
        <v>96</v>
      </c>
      <c r="AO160" s="4" t="s">
        <v>97</v>
      </c>
      <c r="AP160" s="4" t="s">
        <v>98</v>
      </c>
      <c r="AQ160" s="4" t="s">
        <v>99</v>
      </c>
      <c r="AR160" s="4" t="s">
        <v>100</v>
      </c>
    </row>
    <row r="161" spans="1:47" x14ac:dyDescent="0.2">
      <c r="A161" s="8" t="s">
        <v>713</v>
      </c>
      <c r="B161" s="8" t="s">
        <v>714</v>
      </c>
      <c r="C161" s="8" t="s">
        <v>715</v>
      </c>
      <c r="D161" s="8" t="s">
        <v>716</v>
      </c>
      <c r="E161" s="8" t="s">
        <v>962</v>
      </c>
      <c r="F161" s="5">
        <v>540</v>
      </c>
      <c r="G161" s="5"/>
      <c r="H161" s="12"/>
      <c r="I161" s="5" t="s">
        <v>785</v>
      </c>
      <c r="J161" s="5" t="s">
        <v>785</v>
      </c>
      <c r="K161" s="5">
        <v>1484</v>
      </c>
      <c r="L161" s="5">
        <v>416</v>
      </c>
      <c r="M161" s="6" t="s">
        <v>776</v>
      </c>
      <c r="N161" s="6">
        <v>0.11</v>
      </c>
      <c r="O161" s="8" t="s">
        <v>24</v>
      </c>
      <c r="P161" s="8" t="s">
        <v>25</v>
      </c>
      <c r="Q161" s="8" t="s">
        <v>779</v>
      </c>
      <c r="R161" s="8" t="s">
        <v>25</v>
      </c>
      <c r="S161" s="8">
        <v>4</v>
      </c>
      <c r="T161" s="8">
        <v>4</v>
      </c>
      <c r="U161" s="8">
        <v>105</v>
      </c>
      <c r="V161" s="8">
        <v>141</v>
      </c>
      <c r="W161" s="8">
        <f t="shared" si="8"/>
        <v>241</v>
      </c>
      <c r="X161" s="4" t="s">
        <v>766</v>
      </c>
      <c r="Y161" s="4"/>
      <c r="Z161" s="4" t="s">
        <v>768</v>
      </c>
      <c r="AA161" s="4">
        <v>5</v>
      </c>
      <c r="AB161" s="7">
        <v>32.5</v>
      </c>
      <c r="AC161" s="7">
        <f t="shared" si="9"/>
        <v>0.29013194308057633</v>
      </c>
      <c r="AD161" s="7">
        <v>112.018</v>
      </c>
      <c r="AE161" s="9">
        <v>46038</v>
      </c>
      <c r="AF161" s="9">
        <v>46038</v>
      </c>
      <c r="AG161" s="10">
        <v>0.65284722222222225</v>
      </c>
      <c r="AH161" s="4" t="s">
        <v>188</v>
      </c>
      <c r="AI161" s="4" t="s">
        <v>91</v>
      </c>
      <c r="AJ161" s="4" t="s">
        <v>92</v>
      </c>
      <c r="AK161" s="4" t="s">
        <v>93</v>
      </c>
      <c r="AL161" s="4" t="s">
        <v>94</v>
      </c>
      <c r="AM161" s="4" t="s">
        <v>95</v>
      </c>
      <c r="AN161" s="4" t="s">
        <v>96</v>
      </c>
      <c r="AO161" s="4" t="s">
        <v>97</v>
      </c>
      <c r="AP161" s="4" t="s">
        <v>98</v>
      </c>
      <c r="AQ161" s="4" t="s">
        <v>99</v>
      </c>
      <c r="AR161" s="4" t="s">
        <v>100</v>
      </c>
    </row>
    <row r="162" spans="1:47" x14ac:dyDescent="0.2">
      <c r="A162" s="8" t="s">
        <v>593</v>
      </c>
      <c r="B162" s="8" t="s">
        <v>594</v>
      </c>
      <c r="C162" s="8" t="s">
        <v>595</v>
      </c>
      <c r="D162" s="8" t="s">
        <v>596</v>
      </c>
      <c r="E162" s="8" t="s">
        <v>962</v>
      </c>
      <c r="F162" s="14"/>
      <c r="G162" s="14"/>
      <c r="H162" s="15" t="s">
        <v>968</v>
      </c>
      <c r="I162" s="5" t="s">
        <v>785</v>
      </c>
      <c r="J162" s="5" t="s">
        <v>785</v>
      </c>
      <c r="K162" s="5">
        <v>1484</v>
      </c>
      <c r="L162" s="5">
        <v>416</v>
      </c>
      <c r="M162" s="6" t="s">
        <v>776</v>
      </c>
      <c r="N162" s="6">
        <v>0.15</v>
      </c>
      <c r="O162" s="8" t="s">
        <v>24</v>
      </c>
      <c r="P162" s="8" t="s">
        <v>25</v>
      </c>
      <c r="Q162" s="8" t="s">
        <v>780</v>
      </c>
      <c r="R162" s="8" t="s">
        <v>25</v>
      </c>
      <c r="S162" s="8">
        <v>5</v>
      </c>
      <c r="T162" s="8">
        <v>5</v>
      </c>
      <c r="U162" s="8">
        <v>254</v>
      </c>
      <c r="V162" s="8">
        <v>476</v>
      </c>
      <c r="W162" s="8">
        <f t="shared" ref="W162:W193" si="10">V162+100</f>
        <v>576</v>
      </c>
      <c r="X162" s="4" t="s">
        <v>767</v>
      </c>
      <c r="Y162" s="4"/>
      <c r="Z162" s="4" t="s">
        <v>768</v>
      </c>
      <c r="AA162" s="4">
        <v>5</v>
      </c>
      <c r="AB162" s="7">
        <v>32.5</v>
      </c>
      <c r="AC162" s="7">
        <f t="shared" ref="AC162:AC193" si="11">AB162/AD162</f>
        <v>0.32171847158978423</v>
      </c>
      <c r="AD162" s="7">
        <v>101.02</v>
      </c>
      <c r="AE162" s="9">
        <v>46038</v>
      </c>
      <c r="AF162" s="9">
        <v>46038</v>
      </c>
      <c r="AG162" s="10">
        <v>0.65807870370370369</v>
      </c>
      <c r="AH162" s="4" t="s">
        <v>188</v>
      </c>
      <c r="AI162" s="4" t="s">
        <v>91</v>
      </c>
      <c r="AJ162" s="4" t="s">
        <v>92</v>
      </c>
      <c r="AK162" s="4" t="s">
        <v>93</v>
      </c>
      <c r="AL162" s="4" t="s">
        <v>94</v>
      </c>
      <c r="AM162" s="4" t="s">
        <v>95</v>
      </c>
      <c r="AN162" s="4" t="s">
        <v>96</v>
      </c>
      <c r="AO162" s="4" t="s">
        <v>97</v>
      </c>
      <c r="AP162" s="4" t="s">
        <v>98</v>
      </c>
      <c r="AQ162" s="4" t="s">
        <v>99</v>
      </c>
      <c r="AR162" s="4" t="s">
        <v>100</v>
      </c>
    </row>
    <row r="163" spans="1:47" x14ac:dyDescent="0.2">
      <c r="A163" s="8" t="s">
        <v>597</v>
      </c>
      <c r="B163" s="8" t="s">
        <v>598</v>
      </c>
      <c r="C163" s="8" t="s">
        <v>599</v>
      </c>
      <c r="D163" s="8" t="s">
        <v>600</v>
      </c>
      <c r="E163" s="8" t="s">
        <v>962</v>
      </c>
      <c r="F163" s="5">
        <v>419</v>
      </c>
      <c r="G163" s="5"/>
      <c r="H163" s="12"/>
      <c r="I163" s="5" t="s">
        <v>786</v>
      </c>
      <c r="J163" s="5" t="s">
        <v>786</v>
      </c>
      <c r="K163" s="5">
        <v>1484</v>
      </c>
      <c r="L163" s="5">
        <v>416</v>
      </c>
      <c r="M163" s="6" t="s">
        <v>776</v>
      </c>
      <c r="N163" s="6">
        <v>4.2000000000000003E-2</v>
      </c>
      <c r="O163" s="8" t="s">
        <v>24</v>
      </c>
      <c r="P163" s="8" t="s">
        <v>25</v>
      </c>
      <c r="Q163" s="8" t="s">
        <v>780</v>
      </c>
      <c r="R163" s="8" t="s">
        <v>25</v>
      </c>
      <c r="S163" s="8">
        <v>5</v>
      </c>
      <c r="T163" s="8">
        <v>5</v>
      </c>
      <c r="U163" s="8">
        <v>340</v>
      </c>
      <c r="V163" s="8">
        <v>387</v>
      </c>
      <c r="W163" s="8">
        <f t="shared" si="10"/>
        <v>487</v>
      </c>
      <c r="X163" s="4" t="s">
        <v>767</v>
      </c>
      <c r="Y163" s="4"/>
      <c r="Z163" s="4" t="s">
        <v>768</v>
      </c>
      <c r="AA163" s="4">
        <v>5</v>
      </c>
      <c r="AB163" s="7">
        <v>32.5</v>
      </c>
      <c r="AC163" s="7">
        <f t="shared" si="11"/>
        <v>0.32171847158978423</v>
      </c>
      <c r="AD163" s="7">
        <v>101.02</v>
      </c>
      <c r="AE163" s="9">
        <v>46038</v>
      </c>
      <c r="AF163" s="9">
        <v>46038</v>
      </c>
      <c r="AG163" s="10">
        <v>0.65820601851851857</v>
      </c>
      <c r="AH163" s="4" t="s">
        <v>188</v>
      </c>
      <c r="AI163" s="4" t="s">
        <v>91</v>
      </c>
      <c r="AJ163" s="4" t="s">
        <v>92</v>
      </c>
      <c r="AK163" s="4" t="s">
        <v>93</v>
      </c>
      <c r="AL163" s="4" t="s">
        <v>94</v>
      </c>
      <c r="AM163" s="4" t="s">
        <v>95</v>
      </c>
      <c r="AN163" s="4" t="s">
        <v>96</v>
      </c>
      <c r="AO163" s="4" t="s">
        <v>97</v>
      </c>
      <c r="AP163" s="4" t="s">
        <v>98</v>
      </c>
      <c r="AQ163" s="4" t="s">
        <v>99</v>
      </c>
      <c r="AR163" s="4" t="s">
        <v>100</v>
      </c>
    </row>
    <row r="164" spans="1:47" x14ac:dyDescent="0.2">
      <c r="A164" s="8" t="s">
        <v>601</v>
      </c>
      <c r="B164" s="8" t="s">
        <v>602</v>
      </c>
      <c r="C164" s="8" t="s">
        <v>603</v>
      </c>
      <c r="D164" s="8" t="s">
        <v>604</v>
      </c>
      <c r="E164" s="8" t="s">
        <v>962</v>
      </c>
      <c r="F164" s="5">
        <v>566</v>
      </c>
      <c r="G164" s="5"/>
      <c r="H164" s="12"/>
      <c r="I164" s="5" t="s">
        <v>785</v>
      </c>
      <c r="J164" s="5" t="s">
        <v>785</v>
      </c>
      <c r="K164" s="5">
        <v>1484</v>
      </c>
      <c r="L164" s="5">
        <v>416</v>
      </c>
      <c r="M164" s="6" t="s">
        <v>776</v>
      </c>
      <c r="N164" s="6">
        <v>0.10199999999999999</v>
      </c>
      <c r="O164" s="8" t="s">
        <v>24</v>
      </c>
      <c r="P164" s="8" t="s">
        <v>25</v>
      </c>
      <c r="Q164" s="8" t="s">
        <v>780</v>
      </c>
      <c r="R164" s="8" t="s">
        <v>25</v>
      </c>
      <c r="S164" s="8">
        <v>5</v>
      </c>
      <c r="T164" s="8">
        <v>5</v>
      </c>
      <c r="U164" s="8">
        <v>0</v>
      </c>
      <c r="V164" s="8">
        <v>45</v>
      </c>
      <c r="W164" s="8">
        <f t="shared" si="10"/>
        <v>145</v>
      </c>
      <c r="X164" s="4" t="s">
        <v>767</v>
      </c>
      <c r="Y164" s="4"/>
      <c r="Z164" s="4" t="s">
        <v>768</v>
      </c>
      <c r="AA164" s="4">
        <v>5</v>
      </c>
      <c r="AB164" s="7">
        <v>32.5</v>
      </c>
      <c r="AC164" s="7">
        <f t="shared" si="11"/>
        <v>0.32171847158978423</v>
      </c>
      <c r="AD164" s="7">
        <v>101.02</v>
      </c>
      <c r="AE164" s="9">
        <v>46038</v>
      </c>
      <c r="AF164" s="9">
        <v>46038</v>
      </c>
      <c r="AG164" s="10">
        <v>0.65855324074074073</v>
      </c>
      <c r="AH164" s="4" t="s">
        <v>188</v>
      </c>
      <c r="AI164" s="4" t="s">
        <v>91</v>
      </c>
      <c r="AJ164" s="4" t="s">
        <v>92</v>
      </c>
      <c r="AK164" s="4" t="s">
        <v>93</v>
      </c>
      <c r="AL164" s="4" t="s">
        <v>94</v>
      </c>
      <c r="AM164" s="4" t="s">
        <v>95</v>
      </c>
      <c r="AN164" s="4" t="s">
        <v>96</v>
      </c>
      <c r="AO164" s="4" t="s">
        <v>97</v>
      </c>
      <c r="AP164" s="4" t="s">
        <v>98</v>
      </c>
      <c r="AQ164" s="4" t="s">
        <v>99</v>
      </c>
      <c r="AR164" s="4" t="s">
        <v>100</v>
      </c>
    </row>
    <row r="165" spans="1:47" x14ac:dyDescent="0.2">
      <c r="A165" s="8" t="s">
        <v>605</v>
      </c>
      <c r="B165" s="8" t="s">
        <v>606</v>
      </c>
      <c r="C165" s="8" t="s">
        <v>607</v>
      </c>
      <c r="D165" s="8" t="s">
        <v>608</v>
      </c>
      <c r="E165" s="8" t="s">
        <v>962</v>
      </c>
      <c r="F165" s="5">
        <v>631</v>
      </c>
      <c r="G165" s="5"/>
      <c r="H165" s="12"/>
      <c r="I165" s="5" t="s">
        <v>785</v>
      </c>
      <c r="J165" s="5" t="s">
        <v>785</v>
      </c>
      <c r="K165" s="5">
        <v>1484</v>
      </c>
      <c r="L165" s="5">
        <v>416</v>
      </c>
      <c r="M165" s="6" t="s">
        <v>776</v>
      </c>
      <c r="N165" s="6">
        <v>0.14799999999999999</v>
      </c>
      <c r="O165" s="8" t="s">
        <v>24</v>
      </c>
      <c r="P165" s="8" t="s">
        <v>25</v>
      </c>
      <c r="Q165" s="8" t="s">
        <v>780</v>
      </c>
      <c r="R165" s="8" t="s">
        <v>25</v>
      </c>
      <c r="S165" s="8">
        <v>5</v>
      </c>
      <c r="T165" s="8">
        <v>5</v>
      </c>
      <c r="U165" s="8">
        <v>77</v>
      </c>
      <c r="V165" s="8">
        <v>604</v>
      </c>
      <c r="W165" s="8">
        <f t="shared" si="10"/>
        <v>704</v>
      </c>
      <c r="X165" s="4" t="s">
        <v>767</v>
      </c>
      <c r="Y165" s="4"/>
      <c r="Z165" s="4" t="s">
        <v>768</v>
      </c>
      <c r="AA165" s="4">
        <v>5</v>
      </c>
      <c r="AB165" s="7">
        <v>32.5</v>
      </c>
      <c r="AC165" s="7">
        <f t="shared" si="11"/>
        <v>0.32171847158978423</v>
      </c>
      <c r="AD165" s="7">
        <v>101.02</v>
      </c>
      <c r="AE165" s="9">
        <v>46038</v>
      </c>
      <c r="AF165" s="9">
        <v>46038</v>
      </c>
      <c r="AG165" s="10">
        <v>0.6586805555555556</v>
      </c>
      <c r="AH165" s="4" t="s">
        <v>188</v>
      </c>
      <c r="AI165" s="4" t="s">
        <v>91</v>
      </c>
      <c r="AJ165" s="4" t="s">
        <v>92</v>
      </c>
      <c r="AK165" s="4" t="s">
        <v>93</v>
      </c>
      <c r="AL165" s="4" t="s">
        <v>94</v>
      </c>
      <c r="AM165" s="4" t="s">
        <v>95</v>
      </c>
      <c r="AN165" s="4" t="s">
        <v>96</v>
      </c>
      <c r="AO165" s="4" t="s">
        <v>97</v>
      </c>
      <c r="AP165" s="4" t="s">
        <v>98</v>
      </c>
      <c r="AQ165" s="4" t="s">
        <v>99</v>
      </c>
      <c r="AR165" s="4" t="s">
        <v>100</v>
      </c>
    </row>
    <row r="166" spans="1:47" x14ac:dyDescent="0.2">
      <c r="A166" s="8" t="s">
        <v>609</v>
      </c>
      <c r="B166" s="8" t="s">
        <v>610</v>
      </c>
      <c r="C166" s="8" t="s">
        <v>611</v>
      </c>
      <c r="D166" s="8" t="s">
        <v>612</v>
      </c>
      <c r="E166" s="8" t="s">
        <v>962</v>
      </c>
      <c r="F166" s="5">
        <v>462</v>
      </c>
      <c r="G166" s="5"/>
      <c r="H166" s="12"/>
      <c r="I166" s="5" t="s">
        <v>785</v>
      </c>
      <c r="J166" s="5" t="s">
        <v>785</v>
      </c>
      <c r="K166" s="5">
        <v>1484</v>
      </c>
      <c r="L166" s="5">
        <v>416</v>
      </c>
      <c r="M166" s="6" t="s">
        <v>776</v>
      </c>
      <c r="N166" s="6">
        <v>0.107</v>
      </c>
      <c r="O166" s="8" t="s">
        <v>24</v>
      </c>
      <c r="P166" s="8" t="s">
        <v>25</v>
      </c>
      <c r="Q166" s="8" t="s">
        <v>780</v>
      </c>
      <c r="R166" s="8" t="s">
        <v>25</v>
      </c>
      <c r="S166" s="8">
        <v>5</v>
      </c>
      <c r="T166" s="8">
        <v>5</v>
      </c>
      <c r="U166" s="8">
        <v>162</v>
      </c>
      <c r="V166" s="8">
        <v>433</v>
      </c>
      <c r="W166" s="8">
        <f t="shared" si="10"/>
        <v>533</v>
      </c>
      <c r="X166" s="4" t="s">
        <v>767</v>
      </c>
      <c r="Y166" s="4"/>
      <c r="Z166" s="4" t="s">
        <v>768</v>
      </c>
      <c r="AA166" s="4">
        <v>5</v>
      </c>
      <c r="AB166" s="7">
        <v>32.5</v>
      </c>
      <c r="AC166" s="7">
        <f t="shared" si="11"/>
        <v>0.32171847158978423</v>
      </c>
      <c r="AD166" s="7">
        <v>101.02</v>
      </c>
      <c r="AE166" s="9">
        <v>46038</v>
      </c>
      <c r="AF166" s="9">
        <v>46038</v>
      </c>
      <c r="AG166" s="10">
        <v>0.65913194444444445</v>
      </c>
      <c r="AH166" s="4" t="s">
        <v>188</v>
      </c>
      <c r="AI166" s="4" t="s">
        <v>91</v>
      </c>
      <c r="AJ166" s="4" t="s">
        <v>92</v>
      </c>
      <c r="AK166" s="4" t="s">
        <v>93</v>
      </c>
      <c r="AL166" s="4" t="s">
        <v>94</v>
      </c>
      <c r="AM166" s="4" t="s">
        <v>95</v>
      </c>
      <c r="AN166" s="4" t="s">
        <v>96</v>
      </c>
      <c r="AO166" s="4" t="s">
        <v>97</v>
      </c>
      <c r="AP166" s="4" t="s">
        <v>98</v>
      </c>
      <c r="AQ166" s="4" t="s">
        <v>99</v>
      </c>
      <c r="AR166" s="4" t="s">
        <v>100</v>
      </c>
    </row>
    <row r="167" spans="1:47" x14ac:dyDescent="0.2">
      <c r="A167" s="8" t="s">
        <v>613</v>
      </c>
      <c r="B167" s="8" t="s">
        <v>614</v>
      </c>
      <c r="C167" s="8" t="s">
        <v>615</v>
      </c>
      <c r="D167" s="8" t="s">
        <v>616</v>
      </c>
      <c r="E167" s="8" t="s">
        <v>962</v>
      </c>
      <c r="F167" s="5">
        <v>375</v>
      </c>
      <c r="G167" s="5"/>
      <c r="H167" s="12"/>
      <c r="I167" s="5" t="s">
        <v>786</v>
      </c>
      <c r="J167" s="5" t="s">
        <v>786</v>
      </c>
      <c r="K167" s="5">
        <v>1484</v>
      </c>
      <c r="L167" s="5">
        <v>416</v>
      </c>
      <c r="M167" s="6" t="s">
        <v>776</v>
      </c>
      <c r="N167" s="6">
        <v>0.26700000000000002</v>
      </c>
      <c r="O167" s="8" t="s">
        <v>24</v>
      </c>
      <c r="P167" s="8" t="s">
        <v>25</v>
      </c>
      <c r="Q167" s="8" t="s">
        <v>780</v>
      </c>
      <c r="R167" s="8" t="s">
        <v>25</v>
      </c>
      <c r="S167" s="8">
        <v>5</v>
      </c>
      <c r="T167" s="8">
        <v>5</v>
      </c>
      <c r="U167" s="8">
        <v>317</v>
      </c>
      <c r="V167" s="8">
        <v>351</v>
      </c>
      <c r="W167" s="8">
        <f t="shared" si="10"/>
        <v>451</v>
      </c>
      <c r="X167" s="4" t="s">
        <v>767</v>
      </c>
      <c r="Y167" s="4"/>
      <c r="Z167" s="4" t="s">
        <v>768</v>
      </c>
      <c r="AA167" s="4">
        <v>5</v>
      </c>
      <c r="AB167" s="7">
        <v>32.5</v>
      </c>
      <c r="AC167" s="7">
        <f t="shared" si="11"/>
        <v>0.32171847158978423</v>
      </c>
      <c r="AD167" s="7">
        <v>101.02</v>
      </c>
      <c r="AE167" s="9">
        <v>46038</v>
      </c>
      <c r="AF167" s="9">
        <v>46038</v>
      </c>
      <c r="AG167" s="10">
        <v>0.65968749999999998</v>
      </c>
      <c r="AH167" s="4" t="s">
        <v>188</v>
      </c>
      <c r="AI167" s="4" t="s">
        <v>91</v>
      </c>
      <c r="AJ167" s="4" t="s">
        <v>92</v>
      </c>
      <c r="AK167" s="4" t="s">
        <v>93</v>
      </c>
      <c r="AL167" s="4" t="s">
        <v>94</v>
      </c>
      <c r="AM167" s="4" t="s">
        <v>95</v>
      </c>
      <c r="AN167" s="4" t="s">
        <v>96</v>
      </c>
      <c r="AO167" s="4" t="s">
        <v>97</v>
      </c>
      <c r="AP167" s="4" t="s">
        <v>98</v>
      </c>
      <c r="AQ167" s="4" t="s">
        <v>99</v>
      </c>
      <c r="AR167" s="4" t="s">
        <v>100</v>
      </c>
    </row>
    <row r="168" spans="1:47" x14ac:dyDescent="0.2">
      <c r="A168" s="8" t="s">
        <v>617</v>
      </c>
      <c r="B168" s="8" t="s">
        <v>618</v>
      </c>
      <c r="C168" s="8" t="s">
        <v>619</v>
      </c>
      <c r="D168" s="8" t="s">
        <v>620</v>
      </c>
      <c r="E168" s="8" t="s">
        <v>962</v>
      </c>
      <c r="F168" s="5">
        <v>441</v>
      </c>
      <c r="G168" s="5"/>
      <c r="H168" s="12"/>
      <c r="I168" s="5" t="s">
        <v>786</v>
      </c>
      <c r="J168" s="5" t="s">
        <v>786</v>
      </c>
      <c r="K168" s="5">
        <v>1484</v>
      </c>
      <c r="L168" s="5">
        <v>416</v>
      </c>
      <c r="M168" s="6" t="s">
        <v>776</v>
      </c>
      <c r="N168" s="6">
        <v>4.4999999999999998E-2</v>
      </c>
      <c r="O168" s="8" t="s">
        <v>24</v>
      </c>
      <c r="P168" s="8" t="s">
        <v>25</v>
      </c>
      <c r="Q168" s="8" t="s">
        <v>780</v>
      </c>
      <c r="R168" s="8" t="s">
        <v>25</v>
      </c>
      <c r="S168" s="8">
        <v>5</v>
      </c>
      <c r="T168" s="8">
        <v>5</v>
      </c>
      <c r="U168" s="8">
        <v>366</v>
      </c>
      <c r="V168" s="8">
        <v>413</v>
      </c>
      <c r="W168" s="8">
        <f t="shared" si="10"/>
        <v>513</v>
      </c>
      <c r="X168" s="4" t="s">
        <v>767</v>
      </c>
      <c r="Y168" s="4"/>
      <c r="Z168" s="4" t="s">
        <v>768</v>
      </c>
      <c r="AA168" s="4">
        <v>5</v>
      </c>
      <c r="AB168" s="7">
        <v>32.5</v>
      </c>
      <c r="AC168" s="7">
        <f t="shared" si="11"/>
        <v>0.32171847158978423</v>
      </c>
      <c r="AD168" s="7">
        <v>101.02</v>
      </c>
      <c r="AE168" s="9">
        <v>46038</v>
      </c>
      <c r="AF168" s="9">
        <v>46038</v>
      </c>
      <c r="AG168" s="10">
        <v>0.66023148148148147</v>
      </c>
      <c r="AH168" s="4" t="s">
        <v>188</v>
      </c>
      <c r="AI168" s="4" t="s">
        <v>91</v>
      </c>
      <c r="AJ168" s="4" t="s">
        <v>92</v>
      </c>
      <c r="AK168" s="4" t="s">
        <v>93</v>
      </c>
      <c r="AL168" s="4" t="s">
        <v>94</v>
      </c>
      <c r="AM168" s="4" t="s">
        <v>95</v>
      </c>
      <c r="AN168" s="4" t="s">
        <v>96</v>
      </c>
      <c r="AO168" s="4" t="s">
        <v>97</v>
      </c>
      <c r="AP168" s="4" t="s">
        <v>98</v>
      </c>
      <c r="AQ168" s="4" t="s">
        <v>99</v>
      </c>
      <c r="AR168" s="4" t="s">
        <v>100</v>
      </c>
    </row>
    <row r="169" spans="1:47" x14ac:dyDescent="0.2">
      <c r="A169" s="8" t="s">
        <v>621</v>
      </c>
      <c r="B169" s="8" t="s">
        <v>622</v>
      </c>
      <c r="C169" s="8" t="s">
        <v>623</v>
      </c>
      <c r="D169" s="8" t="s">
        <v>624</v>
      </c>
      <c r="E169" s="8" t="s">
        <v>962</v>
      </c>
      <c r="F169" s="5">
        <v>372</v>
      </c>
      <c r="G169" s="5"/>
      <c r="H169" s="12"/>
      <c r="I169" s="5" t="s">
        <v>785</v>
      </c>
      <c r="J169" s="5" t="s">
        <v>785</v>
      </c>
      <c r="K169" s="5">
        <v>1484</v>
      </c>
      <c r="L169" s="5">
        <v>416</v>
      </c>
      <c r="M169" s="6" t="s">
        <v>776</v>
      </c>
      <c r="N169" s="6">
        <v>7.0000000000000007E-2</v>
      </c>
      <c r="O169" s="8" t="s">
        <v>24</v>
      </c>
      <c r="P169" s="8" t="s">
        <v>25</v>
      </c>
      <c r="Q169" s="8" t="s">
        <v>780</v>
      </c>
      <c r="R169" s="8" t="s">
        <v>25</v>
      </c>
      <c r="S169" s="8">
        <v>5</v>
      </c>
      <c r="T169" s="8">
        <v>5</v>
      </c>
      <c r="U169" s="8">
        <v>0</v>
      </c>
      <c r="V169" s="8">
        <v>345</v>
      </c>
      <c r="W169" s="8">
        <f t="shared" si="10"/>
        <v>445</v>
      </c>
      <c r="X169" s="4" t="s">
        <v>767</v>
      </c>
      <c r="Y169" s="4"/>
      <c r="Z169" s="4" t="s">
        <v>768</v>
      </c>
      <c r="AA169" s="4">
        <v>5</v>
      </c>
      <c r="AB169" s="7">
        <v>32.5</v>
      </c>
      <c r="AC169" s="7">
        <f t="shared" si="11"/>
        <v>0.32171847158978423</v>
      </c>
      <c r="AD169" s="7">
        <v>101.02</v>
      </c>
      <c r="AE169" s="9">
        <v>46038</v>
      </c>
      <c r="AF169" s="9">
        <v>46038</v>
      </c>
      <c r="AG169" s="10">
        <v>0.6605092592592593</v>
      </c>
      <c r="AH169" s="4" t="s">
        <v>188</v>
      </c>
      <c r="AI169" s="4" t="s">
        <v>91</v>
      </c>
      <c r="AJ169" s="4" t="s">
        <v>92</v>
      </c>
      <c r="AK169" s="4" t="s">
        <v>93</v>
      </c>
      <c r="AL169" s="4" t="s">
        <v>94</v>
      </c>
      <c r="AM169" s="4" t="s">
        <v>95</v>
      </c>
      <c r="AN169" s="4" t="s">
        <v>96</v>
      </c>
      <c r="AO169" s="4" t="s">
        <v>97</v>
      </c>
      <c r="AP169" s="4" t="s">
        <v>98</v>
      </c>
      <c r="AQ169" s="4" t="s">
        <v>99</v>
      </c>
      <c r="AR169" s="4" t="s">
        <v>100</v>
      </c>
    </row>
    <row r="170" spans="1:47" x14ac:dyDescent="0.2">
      <c r="A170" s="8" t="s">
        <v>629</v>
      </c>
      <c r="B170" s="8" t="s">
        <v>630</v>
      </c>
      <c r="C170" s="8" t="s">
        <v>631</v>
      </c>
      <c r="D170" s="8" t="s">
        <v>632</v>
      </c>
      <c r="E170" s="8" t="s">
        <v>962</v>
      </c>
      <c r="F170" s="5">
        <v>722</v>
      </c>
      <c r="G170" s="5"/>
      <c r="H170" s="12"/>
      <c r="I170" s="5" t="s">
        <v>785</v>
      </c>
      <c r="J170" s="5" t="s">
        <v>785</v>
      </c>
      <c r="K170" s="5">
        <v>1484</v>
      </c>
      <c r="L170" s="5">
        <v>416</v>
      </c>
      <c r="M170" s="6" t="s">
        <v>776</v>
      </c>
      <c r="N170" s="6">
        <v>0.15</v>
      </c>
      <c r="O170" s="8" t="s">
        <v>24</v>
      </c>
      <c r="P170" s="8" t="s">
        <v>25</v>
      </c>
      <c r="Q170" s="8" t="s">
        <v>780</v>
      </c>
      <c r="R170" s="8" t="s">
        <v>25</v>
      </c>
      <c r="S170" s="8">
        <v>5</v>
      </c>
      <c r="T170" s="8">
        <v>5</v>
      </c>
      <c r="U170" s="8">
        <v>597</v>
      </c>
      <c r="V170" s="8">
        <v>682</v>
      </c>
      <c r="W170" s="8">
        <f t="shared" si="10"/>
        <v>782</v>
      </c>
      <c r="X170" s="4" t="s">
        <v>767</v>
      </c>
      <c r="Y170" s="4"/>
      <c r="Z170" s="4" t="s">
        <v>768</v>
      </c>
      <c r="AA170" s="4">
        <v>5</v>
      </c>
      <c r="AB170" s="7">
        <v>32.5</v>
      </c>
      <c r="AC170" s="7">
        <f t="shared" si="11"/>
        <v>0.32171847158978423</v>
      </c>
      <c r="AD170" s="7">
        <v>101.02</v>
      </c>
      <c r="AE170" s="9">
        <v>46038</v>
      </c>
      <c r="AF170" s="9">
        <v>46038</v>
      </c>
      <c r="AG170" s="10">
        <v>0.65782407407407406</v>
      </c>
      <c r="AH170" s="4" t="s">
        <v>188</v>
      </c>
      <c r="AI170" s="4" t="s">
        <v>91</v>
      </c>
      <c r="AJ170" s="4" t="s">
        <v>92</v>
      </c>
      <c r="AK170" s="4" t="s">
        <v>93</v>
      </c>
      <c r="AL170" s="4" t="s">
        <v>94</v>
      </c>
      <c r="AM170" s="4" t="s">
        <v>95</v>
      </c>
      <c r="AN170" s="4" t="s">
        <v>96</v>
      </c>
      <c r="AO170" s="4" t="s">
        <v>97</v>
      </c>
      <c r="AP170" s="4" t="s">
        <v>98</v>
      </c>
      <c r="AQ170" s="4" t="s">
        <v>99</v>
      </c>
      <c r="AR170" s="4" t="s">
        <v>100</v>
      </c>
    </row>
    <row r="171" spans="1:47" x14ac:dyDescent="0.2">
      <c r="A171" s="8" t="s">
        <v>685</v>
      </c>
      <c r="B171" s="8" t="s">
        <v>686</v>
      </c>
      <c r="C171" s="8" t="s">
        <v>687</v>
      </c>
      <c r="D171" s="8" t="s">
        <v>688</v>
      </c>
      <c r="E171" s="8" t="s">
        <v>962</v>
      </c>
      <c r="F171" s="5">
        <v>820</v>
      </c>
      <c r="G171" s="5"/>
      <c r="H171" s="12"/>
      <c r="I171" s="5" t="s">
        <v>785</v>
      </c>
      <c r="J171" s="5" t="s">
        <v>785</v>
      </c>
      <c r="K171" s="5">
        <v>1484</v>
      </c>
      <c r="L171" s="5">
        <v>416</v>
      </c>
      <c r="M171" s="6" t="s">
        <v>776</v>
      </c>
      <c r="N171" s="6">
        <v>1.1999999999999999E-3</v>
      </c>
      <c r="O171" s="8" t="s">
        <v>24</v>
      </c>
      <c r="P171" s="8" t="s">
        <v>25</v>
      </c>
      <c r="Q171" s="8" t="s">
        <v>780</v>
      </c>
      <c r="R171" s="8" t="s">
        <v>25</v>
      </c>
      <c r="S171" s="8">
        <v>5</v>
      </c>
      <c r="T171" s="8">
        <v>5</v>
      </c>
      <c r="U171" s="8">
        <v>760</v>
      </c>
      <c r="V171" s="8">
        <v>799</v>
      </c>
      <c r="W171" s="8">
        <f t="shared" si="10"/>
        <v>899</v>
      </c>
      <c r="X171" s="4" t="s">
        <v>767</v>
      </c>
      <c r="Y171" s="4"/>
      <c r="Z171" s="4" t="s">
        <v>768</v>
      </c>
      <c r="AA171" s="4">
        <v>5</v>
      </c>
      <c r="AB171" s="7">
        <v>32.5</v>
      </c>
      <c r="AC171" s="7">
        <f t="shared" si="11"/>
        <v>0.32171847158978423</v>
      </c>
      <c r="AD171" s="7">
        <v>101.02</v>
      </c>
      <c r="AE171" s="9">
        <v>46038</v>
      </c>
      <c r="AF171" s="9">
        <v>46038</v>
      </c>
      <c r="AG171" s="10">
        <v>0.65738425925925925</v>
      </c>
      <c r="AH171" s="4" t="s">
        <v>188</v>
      </c>
      <c r="AI171" s="4" t="s">
        <v>91</v>
      </c>
      <c r="AJ171" s="4" t="s">
        <v>92</v>
      </c>
      <c r="AK171" s="4" t="s">
        <v>93</v>
      </c>
      <c r="AL171" s="4" t="s">
        <v>94</v>
      </c>
      <c r="AM171" s="4" t="s">
        <v>95</v>
      </c>
      <c r="AN171" s="4" t="s">
        <v>96</v>
      </c>
      <c r="AO171" s="4" t="s">
        <v>97</v>
      </c>
      <c r="AP171" s="4" t="s">
        <v>98</v>
      </c>
      <c r="AQ171" s="4" t="s">
        <v>99</v>
      </c>
      <c r="AR171" s="4" t="s">
        <v>100</v>
      </c>
    </row>
    <row r="172" spans="1:47" x14ac:dyDescent="0.2">
      <c r="A172" s="8" t="s">
        <v>737</v>
      </c>
      <c r="B172" s="8" t="s">
        <v>738</v>
      </c>
      <c r="C172" s="8" t="s">
        <v>739</v>
      </c>
      <c r="D172" s="8" t="s">
        <v>740</v>
      </c>
      <c r="E172" s="8" t="s">
        <v>962</v>
      </c>
      <c r="F172" s="14"/>
      <c r="G172" s="14"/>
      <c r="H172" s="15" t="s">
        <v>968</v>
      </c>
      <c r="I172" s="5" t="s">
        <v>785</v>
      </c>
      <c r="J172" s="5" t="s">
        <v>785</v>
      </c>
      <c r="K172" s="5">
        <v>1484</v>
      </c>
      <c r="L172" s="5">
        <v>416</v>
      </c>
      <c r="M172" s="6" t="s">
        <v>776</v>
      </c>
      <c r="N172" s="6">
        <v>0.1</v>
      </c>
      <c r="O172" s="8" t="s">
        <v>24</v>
      </c>
      <c r="P172" s="8" t="s">
        <v>41</v>
      </c>
      <c r="Q172" s="8" t="s">
        <v>780</v>
      </c>
      <c r="R172" s="8" t="s">
        <v>41</v>
      </c>
      <c r="S172" s="8">
        <v>6</v>
      </c>
      <c r="T172" s="8">
        <v>6</v>
      </c>
      <c r="U172" s="8">
        <v>342</v>
      </c>
      <c r="V172" s="8">
        <v>366</v>
      </c>
      <c r="W172" s="8">
        <f t="shared" si="10"/>
        <v>466</v>
      </c>
      <c r="X172" s="4" t="s">
        <v>766</v>
      </c>
      <c r="Y172" s="4"/>
      <c r="Z172" s="4" t="s">
        <v>768</v>
      </c>
      <c r="AA172" s="4">
        <v>5</v>
      </c>
      <c r="AB172" s="7">
        <v>32.5</v>
      </c>
      <c r="AC172" s="7">
        <f t="shared" si="11"/>
        <v>0.29013194308057633</v>
      </c>
      <c r="AD172" s="7">
        <v>112.018</v>
      </c>
      <c r="AE172" s="9">
        <v>46038</v>
      </c>
      <c r="AF172" s="9">
        <v>46038</v>
      </c>
      <c r="AG172" s="10">
        <v>0.67425925925925922</v>
      </c>
      <c r="AH172" s="4" t="s">
        <v>188</v>
      </c>
      <c r="AI172" s="4" t="s">
        <v>91</v>
      </c>
      <c r="AJ172" s="4" t="s">
        <v>92</v>
      </c>
      <c r="AK172" s="4" t="s">
        <v>93</v>
      </c>
      <c r="AL172" s="4" t="s">
        <v>94</v>
      </c>
      <c r="AM172" s="4" t="s">
        <v>95</v>
      </c>
      <c r="AN172" s="4" t="s">
        <v>96</v>
      </c>
      <c r="AO172" s="4" t="s">
        <v>97</v>
      </c>
      <c r="AP172" s="4" t="s">
        <v>98</v>
      </c>
      <c r="AQ172" s="4" t="s">
        <v>99</v>
      </c>
      <c r="AR172" s="4" t="s">
        <v>100</v>
      </c>
    </row>
    <row r="173" spans="1:47" x14ac:dyDescent="0.2">
      <c r="A173" s="8" t="s">
        <v>741</v>
      </c>
      <c r="B173" s="8" t="s">
        <v>742</v>
      </c>
      <c r="C173" s="8" t="s">
        <v>743</v>
      </c>
      <c r="D173" s="8" t="s">
        <v>744</v>
      </c>
      <c r="E173" s="8" t="s">
        <v>962</v>
      </c>
      <c r="F173" s="5">
        <v>500</v>
      </c>
      <c r="G173" s="5"/>
      <c r="H173" s="12"/>
      <c r="I173" s="5" t="s">
        <v>785</v>
      </c>
      <c r="J173" s="5" t="s">
        <v>785</v>
      </c>
      <c r="K173" s="5">
        <v>1484</v>
      </c>
      <c r="L173" s="5">
        <v>416</v>
      </c>
      <c r="M173" s="6" t="s">
        <v>776</v>
      </c>
      <c r="N173" s="6">
        <v>0.20499999999999999</v>
      </c>
      <c r="O173" s="8" t="s">
        <v>24</v>
      </c>
      <c r="P173" s="8" t="s">
        <v>41</v>
      </c>
      <c r="Q173" s="8" t="s">
        <v>780</v>
      </c>
      <c r="R173" s="8" t="s">
        <v>41</v>
      </c>
      <c r="S173" s="8">
        <v>6</v>
      </c>
      <c r="T173" s="8">
        <v>6</v>
      </c>
      <c r="U173" s="8">
        <v>423</v>
      </c>
      <c r="V173" s="8">
        <v>475</v>
      </c>
      <c r="W173" s="8">
        <f t="shared" si="10"/>
        <v>575</v>
      </c>
      <c r="X173" s="4" t="s">
        <v>766</v>
      </c>
      <c r="Y173" s="4" t="s">
        <v>767</v>
      </c>
      <c r="Z173" s="4" t="s">
        <v>768</v>
      </c>
      <c r="AA173" s="4">
        <v>5</v>
      </c>
      <c r="AB173" s="7">
        <v>32.5</v>
      </c>
      <c r="AC173" s="7">
        <f t="shared" si="11"/>
        <v>0.29013194308057633</v>
      </c>
      <c r="AD173" s="7">
        <v>112.018</v>
      </c>
      <c r="AE173" s="9">
        <v>46038</v>
      </c>
      <c r="AF173" s="9">
        <v>46038</v>
      </c>
      <c r="AG173" s="10">
        <v>0.67493055555555559</v>
      </c>
      <c r="AH173" s="4" t="s">
        <v>188</v>
      </c>
      <c r="AI173" s="4" t="s">
        <v>91</v>
      </c>
      <c r="AJ173" s="4" t="s">
        <v>92</v>
      </c>
      <c r="AK173" s="4" t="s">
        <v>93</v>
      </c>
      <c r="AL173" s="4" t="s">
        <v>94</v>
      </c>
      <c r="AM173" s="4" t="s">
        <v>95</v>
      </c>
      <c r="AN173" s="4" t="s">
        <v>96</v>
      </c>
      <c r="AO173" s="4" t="s">
        <v>97</v>
      </c>
      <c r="AP173" s="4" t="s">
        <v>98</v>
      </c>
      <c r="AQ173" s="4" t="s">
        <v>99</v>
      </c>
      <c r="AR173" s="4" t="s">
        <v>100</v>
      </c>
    </row>
    <row r="174" spans="1:47" x14ac:dyDescent="0.2">
      <c r="A174" s="8" t="s">
        <v>745</v>
      </c>
      <c r="B174" s="8" t="s">
        <v>746</v>
      </c>
      <c r="C174" s="8" t="s">
        <v>747</v>
      </c>
      <c r="D174" s="8" t="s">
        <v>748</v>
      </c>
      <c r="E174" s="8" t="s">
        <v>962</v>
      </c>
      <c r="F174" s="5">
        <v>554</v>
      </c>
      <c r="G174" s="5"/>
      <c r="H174" s="12"/>
      <c r="I174" s="5" t="s">
        <v>785</v>
      </c>
      <c r="J174" s="5" t="s">
        <v>786</v>
      </c>
      <c r="K174" s="5">
        <v>1484</v>
      </c>
      <c r="L174" s="5">
        <v>416</v>
      </c>
      <c r="M174" s="6" t="s">
        <v>776</v>
      </c>
      <c r="N174" s="6">
        <v>0.45500000000000002</v>
      </c>
      <c r="O174" s="8" t="s">
        <v>24</v>
      </c>
      <c r="P174" s="8" t="s">
        <v>41</v>
      </c>
      <c r="Q174" s="8" t="s">
        <v>780</v>
      </c>
      <c r="R174" s="8" t="s">
        <v>41</v>
      </c>
      <c r="S174" s="8">
        <v>6</v>
      </c>
      <c r="T174" s="8">
        <v>6</v>
      </c>
      <c r="U174" s="8">
        <v>424</v>
      </c>
      <c r="V174" s="8">
        <v>528</v>
      </c>
      <c r="W174" s="8">
        <f t="shared" si="10"/>
        <v>628</v>
      </c>
      <c r="X174" s="4" t="s">
        <v>766</v>
      </c>
      <c r="Y174" s="4" t="s">
        <v>767</v>
      </c>
      <c r="Z174" s="4" t="s">
        <v>768</v>
      </c>
      <c r="AA174" s="4">
        <v>5</v>
      </c>
      <c r="AB174" s="7">
        <v>32.5</v>
      </c>
      <c r="AC174" s="7">
        <f t="shared" si="11"/>
        <v>0.29013194308057633</v>
      </c>
      <c r="AD174" s="7">
        <v>112.018</v>
      </c>
      <c r="AE174" s="9">
        <v>46038</v>
      </c>
      <c r="AF174" s="9">
        <v>46038</v>
      </c>
      <c r="AG174" s="10">
        <v>0.67591435185185189</v>
      </c>
      <c r="AH174" s="4" t="s">
        <v>188</v>
      </c>
      <c r="AI174" s="4" t="s">
        <v>91</v>
      </c>
      <c r="AJ174" s="4" t="s">
        <v>92</v>
      </c>
      <c r="AK174" s="4" t="s">
        <v>93</v>
      </c>
      <c r="AL174" s="4" t="s">
        <v>94</v>
      </c>
      <c r="AM174" s="4" t="s">
        <v>95</v>
      </c>
      <c r="AN174" s="4" t="s">
        <v>96</v>
      </c>
      <c r="AO174" s="4" t="s">
        <v>97</v>
      </c>
      <c r="AP174" s="4" t="s">
        <v>98</v>
      </c>
      <c r="AQ174" s="4" t="s">
        <v>99</v>
      </c>
      <c r="AR174" s="4" t="s">
        <v>100</v>
      </c>
    </row>
    <row r="175" spans="1:47" x14ac:dyDescent="0.2">
      <c r="A175" s="8" t="s">
        <v>749</v>
      </c>
      <c r="B175" s="8" t="s">
        <v>750</v>
      </c>
      <c r="C175" s="8" t="s">
        <v>751</v>
      </c>
      <c r="D175" s="8" t="s">
        <v>752</v>
      </c>
      <c r="E175" s="8" t="s">
        <v>962</v>
      </c>
      <c r="F175" s="5">
        <v>607</v>
      </c>
      <c r="G175" s="5"/>
      <c r="H175" s="12"/>
      <c r="I175" s="5" t="s">
        <v>786</v>
      </c>
      <c r="J175" s="5" t="s">
        <v>786</v>
      </c>
      <c r="K175" s="5">
        <v>1484</v>
      </c>
      <c r="L175" s="5">
        <v>416</v>
      </c>
      <c r="M175" s="6" t="s">
        <v>776</v>
      </c>
      <c r="N175" s="6">
        <v>0.126</v>
      </c>
      <c r="O175" s="8" t="s">
        <v>24</v>
      </c>
      <c r="P175" s="8" t="s">
        <v>41</v>
      </c>
      <c r="Q175" s="8" t="s">
        <v>780</v>
      </c>
      <c r="R175" s="8" t="s">
        <v>41</v>
      </c>
      <c r="S175" s="8">
        <v>6</v>
      </c>
      <c r="T175" s="8">
        <v>6</v>
      </c>
      <c r="U175" s="8">
        <v>456</v>
      </c>
      <c r="V175" s="8">
        <v>484</v>
      </c>
      <c r="W175" s="8">
        <f t="shared" si="10"/>
        <v>584</v>
      </c>
      <c r="X175" s="4" t="s">
        <v>766</v>
      </c>
      <c r="Y175" s="4" t="s">
        <v>767</v>
      </c>
      <c r="Z175" s="4" t="s">
        <v>768</v>
      </c>
      <c r="AA175" s="4">
        <v>5</v>
      </c>
      <c r="AB175" s="7">
        <v>32.5</v>
      </c>
      <c r="AC175" s="7">
        <f t="shared" si="11"/>
        <v>0.29013194308057633</v>
      </c>
      <c r="AD175" s="7">
        <v>112.018</v>
      </c>
      <c r="AE175" s="9">
        <v>46038</v>
      </c>
      <c r="AF175" s="9">
        <v>46038</v>
      </c>
      <c r="AG175" s="10">
        <v>0.67609953703703707</v>
      </c>
      <c r="AH175" s="4" t="s">
        <v>188</v>
      </c>
      <c r="AI175" s="4" t="s">
        <v>91</v>
      </c>
      <c r="AJ175" s="4" t="s">
        <v>92</v>
      </c>
      <c r="AK175" s="4" t="s">
        <v>93</v>
      </c>
      <c r="AL175" s="4" t="s">
        <v>94</v>
      </c>
      <c r="AM175" s="4" t="s">
        <v>95</v>
      </c>
      <c r="AN175" s="4" t="s">
        <v>96</v>
      </c>
      <c r="AO175" s="4" t="s">
        <v>97</v>
      </c>
      <c r="AP175" s="4" t="s">
        <v>98</v>
      </c>
      <c r="AQ175" s="4" t="s">
        <v>99</v>
      </c>
      <c r="AR175" s="4" t="s">
        <v>100</v>
      </c>
    </row>
    <row r="176" spans="1:47" x14ac:dyDescent="0.2">
      <c r="A176" s="7" t="s">
        <v>792</v>
      </c>
      <c r="B176" s="7" t="s">
        <v>793</v>
      </c>
      <c r="C176" s="7" t="s">
        <v>794</v>
      </c>
      <c r="D176" s="7" t="s">
        <v>795</v>
      </c>
      <c r="E176" s="7" t="s">
        <v>776</v>
      </c>
      <c r="M176" s="6"/>
      <c r="N176" s="6"/>
      <c r="O176" s="7" t="s">
        <v>24</v>
      </c>
      <c r="P176" s="7" t="s">
        <v>41</v>
      </c>
      <c r="R176" s="7" t="s">
        <v>41</v>
      </c>
      <c r="S176" s="7">
        <v>2</v>
      </c>
      <c r="T176" s="7">
        <v>2</v>
      </c>
      <c r="U176" s="7"/>
      <c r="V176" s="7"/>
      <c r="W176" s="7"/>
      <c r="X176" s="4" t="s">
        <v>767</v>
      </c>
      <c r="Y176" s="4"/>
      <c r="Z176" s="4"/>
      <c r="AA176" s="4">
        <v>4</v>
      </c>
      <c r="AB176" s="3"/>
      <c r="AC176" s="3"/>
      <c r="AD176" s="3"/>
      <c r="AE176" s="9">
        <v>46031</v>
      </c>
      <c r="AF176" s="9">
        <v>46031</v>
      </c>
      <c r="AG176" s="10">
        <v>0.60731481481481486</v>
      </c>
      <c r="AH176" s="4" t="s">
        <v>26</v>
      </c>
      <c r="AI176" s="4" t="s">
        <v>27</v>
      </c>
      <c r="AJ176" s="4" t="s">
        <v>28</v>
      </c>
      <c r="AK176" s="4" t="s">
        <v>29</v>
      </c>
      <c r="AL176" s="4" t="s">
        <v>30</v>
      </c>
      <c r="AM176" s="4" t="s">
        <v>31</v>
      </c>
      <c r="AN176" s="4" t="s">
        <v>32</v>
      </c>
      <c r="AO176" s="4" t="s">
        <v>33</v>
      </c>
      <c r="AP176" s="4" t="s">
        <v>34</v>
      </c>
      <c r="AQ176" s="4" t="s">
        <v>35</v>
      </c>
      <c r="AR176" s="4" t="s">
        <v>36</v>
      </c>
      <c r="AS176" s="4"/>
      <c r="AT176" s="4"/>
      <c r="AU176" s="4"/>
    </row>
    <row r="177" spans="1:47" x14ac:dyDescent="0.2">
      <c r="A177" s="7" t="s">
        <v>796</v>
      </c>
      <c r="B177" s="7" t="s">
        <v>797</v>
      </c>
      <c r="C177" s="7" t="s">
        <v>798</v>
      </c>
      <c r="D177" s="7" t="s">
        <v>799</v>
      </c>
      <c r="E177" s="7" t="s">
        <v>776</v>
      </c>
      <c r="M177" s="6"/>
      <c r="N177" s="6"/>
      <c r="O177" s="7" t="s">
        <v>24</v>
      </c>
      <c r="P177" s="7" t="s">
        <v>41</v>
      </c>
      <c r="R177" s="7" t="s">
        <v>41</v>
      </c>
      <c r="S177" s="7">
        <v>2</v>
      </c>
      <c r="T177" s="7">
        <v>2</v>
      </c>
      <c r="U177" s="7"/>
      <c r="V177" s="7"/>
      <c r="W177" s="7"/>
      <c r="X177" s="4" t="s">
        <v>767</v>
      </c>
      <c r="Y177" s="4"/>
      <c r="Z177" s="4"/>
      <c r="AA177" s="4">
        <v>4</v>
      </c>
      <c r="AB177" s="3"/>
      <c r="AC177" s="3"/>
      <c r="AD177" s="3"/>
      <c r="AE177" s="9">
        <v>46031</v>
      </c>
      <c r="AF177" s="9">
        <v>46031</v>
      </c>
      <c r="AG177" s="10">
        <v>0.60746527777777781</v>
      </c>
      <c r="AH177" s="4" t="s">
        <v>26</v>
      </c>
      <c r="AI177" s="4" t="s">
        <v>27</v>
      </c>
      <c r="AJ177" s="4" t="s">
        <v>28</v>
      </c>
      <c r="AK177" s="4" t="s">
        <v>29</v>
      </c>
      <c r="AL177" s="4" t="s">
        <v>30</v>
      </c>
      <c r="AM177" s="4" t="s">
        <v>31</v>
      </c>
      <c r="AN177" s="4" t="s">
        <v>32</v>
      </c>
      <c r="AO177" s="4" t="s">
        <v>33</v>
      </c>
      <c r="AP177" s="4" t="s">
        <v>34</v>
      </c>
      <c r="AQ177" s="4" t="s">
        <v>35</v>
      </c>
      <c r="AR177" s="4" t="s">
        <v>36</v>
      </c>
      <c r="AS177" s="4"/>
      <c r="AT177" s="4"/>
      <c r="AU177" s="4"/>
    </row>
    <row r="178" spans="1:47" x14ac:dyDescent="0.2">
      <c r="A178" s="7" t="s">
        <v>800</v>
      </c>
      <c r="B178" s="7" t="s">
        <v>801</v>
      </c>
      <c r="C178" s="7" t="s">
        <v>802</v>
      </c>
      <c r="D178" s="7" t="s">
        <v>803</v>
      </c>
      <c r="E178" s="7" t="s">
        <v>776</v>
      </c>
      <c r="M178" s="6"/>
      <c r="N178" s="6"/>
      <c r="O178" s="7" t="s">
        <v>24</v>
      </c>
      <c r="P178" s="7" t="s">
        <v>41</v>
      </c>
      <c r="R178" s="7" t="s">
        <v>41</v>
      </c>
      <c r="S178" s="7">
        <v>2</v>
      </c>
      <c r="T178" s="7">
        <v>2</v>
      </c>
      <c r="U178" s="7"/>
      <c r="V178" s="7"/>
      <c r="W178" s="7"/>
      <c r="X178" s="4" t="s">
        <v>767</v>
      </c>
      <c r="Y178" s="4"/>
      <c r="Z178" s="4"/>
      <c r="AA178" s="4">
        <v>5</v>
      </c>
      <c r="AB178" s="3"/>
      <c r="AC178" s="3"/>
      <c r="AD178" s="3"/>
      <c r="AE178" s="9">
        <v>46031</v>
      </c>
      <c r="AF178" s="9">
        <v>46031</v>
      </c>
      <c r="AG178" s="10">
        <v>0.60731481481481486</v>
      </c>
      <c r="AH178" s="4" t="s">
        <v>188</v>
      </c>
      <c r="AI178" s="4" t="s">
        <v>27</v>
      </c>
      <c r="AJ178" s="4" t="s">
        <v>28</v>
      </c>
      <c r="AK178" s="4" t="s">
        <v>29</v>
      </c>
      <c r="AL178" s="4" t="s">
        <v>30</v>
      </c>
      <c r="AM178" s="4" t="s">
        <v>31</v>
      </c>
      <c r="AN178" s="4" t="s">
        <v>32</v>
      </c>
      <c r="AO178" s="4" t="s">
        <v>33</v>
      </c>
      <c r="AP178" s="4" t="s">
        <v>34</v>
      </c>
      <c r="AQ178" s="4" t="s">
        <v>35</v>
      </c>
      <c r="AR178" s="4" t="s">
        <v>36</v>
      </c>
      <c r="AS178" s="4"/>
      <c r="AT178" s="4"/>
      <c r="AU178" s="4"/>
    </row>
    <row r="179" spans="1:47" x14ac:dyDescent="0.2">
      <c r="A179" s="7" t="s">
        <v>804</v>
      </c>
      <c r="B179" s="7" t="s">
        <v>805</v>
      </c>
      <c r="C179" s="7" t="s">
        <v>806</v>
      </c>
      <c r="D179" s="7" t="s">
        <v>807</v>
      </c>
      <c r="E179" s="7" t="s">
        <v>776</v>
      </c>
      <c r="M179" s="6"/>
      <c r="N179" s="6"/>
      <c r="O179" s="7" t="s">
        <v>24</v>
      </c>
      <c r="P179" s="7" t="s">
        <v>41</v>
      </c>
      <c r="R179" s="7" t="s">
        <v>41</v>
      </c>
      <c r="S179" s="7">
        <v>2</v>
      </c>
      <c r="T179" s="7">
        <v>2</v>
      </c>
      <c r="U179" s="7"/>
      <c r="V179" s="7"/>
      <c r="W179" s="7"/>
      <c r="X179" s="4" t="s">
        <v>767</v>
      </c>
      <c r="Y179" s="4"/>
      <c r="Z179" s="4"/>
      <c r="AA179" s="4">
        <v>5</v>
      </c>
      <c r="AB179" s="3"/>
      <c r="AC179" s="3"/>
      <c r="AD179" s="3"/>
      <c r="AE179" s="9">
        <v>46031</v>
      </c>
      <c r="AF179" s="9">
        <v>46031</v>
      </c>
      <c r="AG179" s="10">
        <v>0.60746527777777781</v>
      </c>
      <c r="AH179" s="4" t="s">
        <v>188</v>
      </c>
      <c r="AI179" s="4" t="s">
        <v>27</v>
      </c>
      <c r="AJ179" s="4" t="s">
        <v>28</v>
      </c>
      <c r="AK179" s="4" t="s">
        <v>29</v>
      </c>
      <c r="AL179" s="4" t="s">
        <v>30</v>
      </c>
      <c r="AM179" s="4" t="s">
        <v>31</v>
      </c>
      <c r="AN179" s="4" t="s">
        <v>32</v>
      </c>
      <c r="AO179" s="4" t="s">
        <v>33</v>
      </c>
      <c r="AP179" s="4" t="s">
        <v>34</v>
      </c>
      <c r="AQ179" s="4" t="s">
        <v>35</v>
      </c>
      <c r="AR179" s="4" t="s">
        <v>36</v>
      </c>
      <c r="AS179" s="4"/>
      <c r="AT179" s="4"/>
      <c r="AU179" s="4"/>
    </row>
    <row r="180" spans="1:47" x14ac:dyDescent="0.2">
      <c r="A180" s="7" t="s">
        <v>808</v>
      </c>
      <c r="B180" s="7" t="s">
        <v>809</v>
      </c>
      <c r="C180" s="7" t="s">
        <v>810</v>
      </c>
      <c r="D180" s="7" t="s">
        <v>811</v>
      </c>
      <c r="E180" s="7" t="s">
        <v>776</v>
      </c>
      <c r="M180" s="6"/>
      <c r="N180" s="6"/>
      <c r="O180" s="7" t="s">
        <v>133</v>
      </c>
      <c r="P180" s="7" t="s">
        <v>41</v>
      </c>
      <c r="R180" s="7" t="s">
        <v>41</v>
      </c>
      <c r="S180" s="7">
        <v>1</v>
      </c>
      <c r="T180" s="7">
        <v>1</v>
      </c>
      <c r="U180" s="7"/>
      <c r="V180" s="7"/>
      <c r="W180" s="7"/>
      <c r="X180" s="4" t="s">
        <v>767</v>
      </c>
      <c r="Y180" s="4"/>
      <c r="Z180" s="4"/>
      <c r="AA180" s="4">
        <v>4</v>
      </c>
      <c r="AB180" s="3"/>
      <c r="AC180" s="3"/>
      <c r="AD180" s="3"/>
      <c r="AE180" s="9">
        <v>45987</v>
      </c>
      <c r="AF180" s="9">
        <v>45987</v>
      </c>
      <c r="AG180" s="10">
        <v>0.52690972222222221</v>
      </c>
      <c r="AH180" s="4" t="s">
        <v>26</v>
      </c>
      <c r="AI180" s="4" t="s">
        <v>134</v>
      </c>
      <c r="AJ180" s="4" t="s">
        <v>135</v>
      </c>
      <c r="AK180" s="4" t="s">
        <v>136</v>
      </c>
      <c r="AL180" s="4" t="s">
        <v>137</v>
      </c>
      <c r="AM180" s="4" t="s">
        <v>138</v>
      </c>
      <c r="AN180" s="4" t="s">
        <v>139</v>
      </c>
      <c r="AO180" s="4" t="s">
        <v>140</v>
      </c>
      <c r="AP180" s="4" t="s">
        <v>141</v>
      </c>
      <c r="AQ180" s="4" t="s">
        <v>142</v>
      </c>
      <c r="AR180" s="4" t="s">
        <v>143</v>
      </c>
      <c r="AS180" s="4"/>
      <c r="AT180" s="4"/>
      <c r="AU180" s="4"/>
    </row>
    <row r="181" spans="1:47" x14ac:dyDescent="0.2">
      <c r="A181" s="7" t="s">
        <v>812</v>
      </c>
      <c r="B181" s="7" t="s">
        <v>813</v>
      </c>
      <c r="C181" s="7" t="s">
        <v>814</v>
      </c>
      <c r="D181" s="7" t="s">
        <v>815</v>
      </c>
      <c r="E181" s="7" t="s">
        <v>776</v>
      </c>
      <c r="M181" s="6"/>
      <c r="N181" s="6"/>
      <c r="O181" s="7" t="s">
        <v>133</v>
      </c>
      <c r="P181" s="7" t="s">
        <v>41</v>
      </c>
      <c r="R181" s="7" t="s">
        <v>41</v>
      </c>
      <c r="S181" s="7">
        <v>1</v>
      </c>
      <c r="T181" s="7">
        <v>1</v>
      </c>
      <c r="U181" s="7"/>
      <c r="V181" s="7"/>
      <c r="W181" s="7"/>
      <c r="X181" s="4" t="s">
        <v>767</v>
      </c>
      <c r="Y181" s="4"/>
      <c r="Z181" s="4"/>
      <c r="AA181" s="4">
        <v>4</v>
      </c>
      <c r="AB181" s="3"/>
      <c r="AC181" s="3"/>
      <c r="AD181" s="3"/>
      <c r="AE181" s="9">
        <v>45987</v>
      </c>
      <c r="AF181" s="9">
        <v>45987</v>
      </c>
      <c r="AG181" s="10">
        <v>0.52598379629629632</v>
      </c>
      <c r="AH181" s="4" t="s">
        <v>26</v>
      </c>
      <c r="AI181" s="4" t="s">
        <v>134</v>
      </c>
      <c r="AJ181" s="4" t="s">
        <v>135</v>
      </c>
      <c r="AK181" s="4" t="s">
        <v>136</v>
      </c>
      <c r="AL181" s="4" t="s">
        <v>137</v>
      </c>
      <c r="AM181" s="4" t="s">
        <v>138</v>
      </c>
      <c r="AN181" s="4" t="s">
        <v>139</v>
      </c>
      <c r="AO181" s="4" t="s">
        <v>140</v>
      </c>
      <c r="AP181" s="4" t="s">
        <v>141</v>
      </c>
      <c r="AQ181" s="4" t="s">
        <v>142</v>
      </c>
      <c r="AR181" s="4" t="s">
        <v>143</v>
      </c>
      <c r="AS181" s="4"/>
      <c r="AT181" s="4"/>
      <c r="AU181" s="4"/>
    </row>
    <row r="182" spans="1:47" x14ac:dyDescent="0.2">
      <c r="A182" s="7" t="s">
        <v>816</v>
      </c>
      <c r="B182" s="7" t="s">
        <v>817</v>
      </c>
      <c r="C182" s="7" t="s">
        <v>818</v>
      </c>
      <c r="D182" s="7" t="s">
        <v>819</v>
      </c>
      <c r="E182" s="7" t="s">
        <v>776</v>
      </c>
      <c r="M182" s="6"/>
      <c r="N182" s="6"/>
      <c r="O182" s="7" t="s">
        <v>133</v>
      </c>
      <c r="P182" s="7" t="s">
        <v>41</v>
      </c>
      <c r="R182" s="7" t="s">
        <v>41</v>
      </c>
      <c r="S182" s="7">
        <v>2</v>
      </c>
      <c r="T182" s="7">
        <v>2</v>
      </c>
      <c r="U182" s="7"/>
      <c r="V182" s="7"/>
      <c r="W182" s="7"/>
      <c r="X182" s="4" t="s">
        <v>767</v>
      </c>
      <c r="Y182" s="4"/>
      <c r="Z182" s="4"/>
      <c r="AA182" s="4">
        <v>4</v>
      </c>
      <c r="AB182" s="3"/>
      <c r="AC182" s="3"/>
      <c r="AD182" s="3"/>
      <c r="AE182" s="9">
        <v>45987</v>
      </c>
      <c r="AF182" s="9">
        <v>45987</v>
      </c>
      <c r="AG182" s="10">
        <v>0.53722222222222227</v>
      </c>
      <c r="AH182" s="4" t="s">
        <v>26</v>
      </c>
      <c r="AI182" s="4" t="s">
        <v>134</v>
      </c>
      <c r="AJ182" s="4" t="s">
        <v>135</v>
      </c>
      <c r="AK182" s="4" t="s">
        <v>136</v>
      </c>
      <c r="AL182" s="4" t="s">
        <v>137</v>
      </c>
      <c r="AM182" s="4" t="s">
        <v>138</v>
      </c>
      <c r="AN182" s="4" t="s">
        <v>139</v>
      </c>
      <c r="AO182" s="4" t="s">
        <v>140</v>
      </c>
      <c r="AP182" s="4" t="s">
        <v>141</v>
      </c>
      <c r="AQ182" s="4" t="s">
        <v>142</v>
      </c>
      <c r="AR182" s="4" t="s">
        <v>143</v>
      </c>
      <c r="AS182" s="4"/>
      <c r="AT182" s="4"/>
      <c r="AU182" s="4"/>
    </row>
    <row r="183" spans="1:47" x14ac:dyDescent="0.2">
      <c r="A183" s="7" t="s">
        <v>820</v>
      </c>
      <c r="B183" s="7" t="s">
        <v>821</v>
      </c>
      <c r="C183" s="7" t="s">
        <v>822</v>
      </c>
      <c r="D183" s="7" t="s">
        <v>823</v>
      </c>
      <c r="E183" s="7" t="s">
        <v>776</v>
      </c>
      <c r="M183" s="6"/>
      <c r="N183" s="6"/>
      <c r="O183" s="7" t="s">
        <v>133</v>
      </c>
      <c r="P183" s="7" t="s">
        <v>41</v>
      </c>
      <c r="R183" s="7" t="s">
        <v>41</v>
      </c>
      <c r="S183" s="7">
        <v>2</v>
      </c>
      <c r="T183" s="7">
        <v>2</v>
      </c>
      <c r="U183" s="7"/>
      <c r="V183" s="7"/>
      <c r="W183" s="7"/>
      <c r="X183" s="4" t="s">
        <v>767</v>
      </c>
      <c r="Y183" s="4"/>
      <c r="Z183" s="4"/>
      <c r="AA183" s="4">
        <v>4</v>
      </c>
      <c r="AB183" s="3"/>
      <c r="AC183" s="3"/>
      <c r="AD183" s="3"/>
      <c r="AE183" s="9">
        <v>45987</v>
      </c>
      <c r="AF183" s="9">
        <v>45987</v>
      </c>
      <c r="AG183" s="10">
        <v>0.53241898148148148</v>
      </c>
      <c r="AH183" s="4" t="s">
        <v>26</v>
      </c>
      <c r="AI183" s="4" t="s">
        <v>134</v>
      </c>
      <c r="AJ183" s="4" t="s">
        <v>135</v>
      </c>
      <c r="AK183" s="4" t="s">
        <v>136</v>
      </c>
      <c r="AL183" s="4" t="s">
        <v>137</v>
      </c>
      <c r="AM183" s="4" t="s">
        <v>138</v>
      </c>
      <c r="AN183" s="4" t="s">
        <v>139</v>
      </c>
      <c r="AO183" s="4" t="s">
        <v>140</v>
      </c>
      <c r="AP183" s="4" t="s">
        <v>141</v>
      </c>
      <c r="AQ183" s="4" t="s">
        <v>142</v>
      </c>
      <c r="AR183" s="4" t="s">
        <v>143</v>
      </c>
      <c r="AS183" s="4"/>
      <c r="AT183" s="4"/>
      <c r="AU183" s="4"/>
    </row>
    <row r="184" spans="1:47" x14ac:dyDescent="0.2">
      <c r="A184" s="7" t="s">
        <v>824</v>
      </c>
      <c r="B184" s="7" t="s">
        <v>825</v>
      </c>
      <c r="C184" s="7" t="s">
        <v>826</v>
      </c>
      <c r="D184" s="7" t="s">
        <v>827</v>
      </c>
      <c r="E184" s="7" t="s">
        <v>776</v>
      </c>
      <c r="M184" s="6"/>
      <c r="N184" s="6"/>
      <c r="O184" s="7" t="s">
        <v>133</v>
      </c>
      <c r="P184" s="7" t="s">
        <v>41</v>
      </c>
      <c r="R184" s="7" t="s">
        <v>41</v>
      </c>
      <c r="S184" s="7">
        <v>2</v>
      </c>
      <c r="T184" s="7">
        <v>2</v>
      </c>
      <c r="U184" s="7"/>
      <c r="V184" s="7"/>
      <c r="W184" s="7"/>
      <c r="X184" s="4" t="s">
        <v>767</v>
      </c>
      <c r="Y184" s="4"/>
      <c r="Z184" s="4"/>
      <c r="AA184" s="4">
        <v>4</v>
      </c>
      <c r="AB184" s="3"/>
      <c r="AC184" s="3"/>
      <c r="AD184" s="3"/>
      <c r="AE184" s="9">
        <v>45987</v>
      </c>
      <c r="AF184" s="9">
        <v>45987</v>
      </c>
      <c r="AG184" s="10">
        <v>0.53270833333333334</v>
      </c>
      <c r="AH184" s="4" t="s">
        <v>26</v>
      </c>
      <c r="AI184" s="4" t="s">
        <v>134</v>
      </c>
      <c r="AJ184" s="4" t="s">
        <v>135</v>
      </c>
      <c r="AK184" s="4" t="s">
        <v>136</v>
      </c>
      <c r="AL184" s="4" t="s">
        <v>137</v>
      </c>
      <c r="AM184" s="4" t="s">
        <v>138</v>
      </c>
      <c r="AN184" s="4" t="s">
        <v>139</v>
      </c>
      <c r="AO184" s="4" t="s">
        <v>140</v>
      </c>
      <c r="AP184" s="4" t="s">
        <v>141</v>
      </c>
      <c r="AQ184" s="4" t="s">
        <v>142</v>
      </c>
      <c r="AR184" s="4" t="s">
        <v>143</v>
      </c>
      <c r="AS184" s="4"/>
      <c r="AT184" s="4"/>
      <c r="AU184" s="4"/>
    </row>
    <row r="185" spans="1:47" x14ac:dyDescent="0.2">
      <c r="A185" s="7" t="s">
        <v>828</v>
      </c>
      <c r="B185" s="7" t="s">
        <v>829</v>
      </c>
      <c r="C185" s="7" t="s">
        <v>830</v>
      </c>
      <c r="D185" s="7" t="s">
        <v>831</v>
      </c>
      <c r="E185" s="7" t="s">
        <v>776</v>
      </c>
      <c r="M185" s="6"/>
      <c r="N185" s="6"/>
      <c r="O185" s="7" t="s">
        <v>133</v>
      </c>
      <c r="P185" s="7" t="s">
        <v>41</v>
      </c>
      <c r="R185" s="7" t="s">
        <v>41</v>
      </c>
      <c r="S185" s="7">
        <v>2</v>
      </c>
      <c r="T185" s="7">
        <v>2</v>
      </c>
      <c r="U185" s="7"/>
      <c r="V185" s="7"/>
      <c r="W185" s="7"/>
      <c r="X185" s="4" t="s">
        <v>767</v>
      </c>
      <c r="Y185" s="4"/>
      <c r="Z185" s="4"/>
      <c r="AA185" s="4">
        <v>4</v>
      </c>
      <c r="AB185" s="3"/>
      <c r="AC185" s="3"/>
      <c r="AD185" s="3"/>
      <c r="AE185" s="9">
        <v>45987</v>
      </c>
      <c r="AF185" s="9">
        <v>45987</v>
      </c>
      <c r="AG185" s="10">
        <v>0.53567129629629628</v>
      </c>
      <c r="AH185" s="4" t="s">
        <v>26</v>
      </c>
      <c r="AI185" s="4" t="s">
        <v>134</v>
      </c>
      <c r="AJ185" s="4" t="s">
        <v>135</v>
      </c>
      <c r="AK185" s="4" t="s">
        <v>136</v>
      </c>
      <c r="AL185" s="4" t="s">
        <v>137</v>
      </c>
      <c r="AM185" s="4" t="s">
        <v>138</v>
      </c>
      <c r="AN185" s="4" t="s">
        <v>139</v>
      </c>
      <c r="AO185" s="4" t="s">
        <v>140</v>
      </c>
      <c r="AP185" s="4" t="s">
        <v>141</v>
      </c>
      <c r="AQ185" s="4" t="s">
        <v>142</v>
      </c>
      <c r="AR185" s="4" t="s">
        <v>143</v>
      </c>
      <c r="AS185" s="4"/>
      <c r="AT185" s="4"/>
      <c r="AU185" s="4"/>
    </row>
    <row r="186" spans="1:47" x14ac:dyDescent="0.2">
      <c r="A186" s="7" t="s">
        <v>832</v>
      </c>
      <c r="B186" s="7" t="s">
        <v>833</v>
      </c>
      <c r="C186" s="7" t="s">
        <v>834</v>
      </c>
      <c r="D186" s="7" t="s">
        <v>835</v>
      </c>
      <c r="E186" s="7" t="s">
        <v>776</v>
      </c>
      <c r="M186" s="6"/>
      <c r="N186" s="6"/>
      <c r="O186" s="7" t="s">
        <v>133</v>
      </c>
      <c r="P186" s="7" t="s">
        <v>41</v>
      </c>
      <c r="R186" s="7" t="s">
        <v>41</v>
      </c>
      <c r="S186" s="7">
        <v>2</v>
      </c>
      <c r="T186" s="7">
        <v>2</v>
      </c>
      <c r="U186" s="7"/>
      <c r="V186" s="7"/>
      <c r="W186" s="7"/>
      <c r="X186" s="4" t="s">
        <v>767</v>
      </c>
      <c r="Y186" s="4"/>
      <c r="Z186" s="4"/>
      <c r="AA186" s="4">
        <v>4</v>
      </c>
      <c r="AB186" s="3"/>
      <c r="AC186" s="3"/>
      <c r="AD186" s="3"/>
      <c r="AE186" s="9">
        <v>45987</v>
      </c>
      <c r="AF186" s="9">
        <v>45987</v>
      </c>
      <c r="AG186" s="10">
        <v>0.53431712962962963</v>
      </c>
      <c r="AH186" s="4" t="s">
        <v>26</v>
      </c>
      <c r="AI186" s="4" t="s">
        <v>134</v>
      </c>
      <c r="AJ186" s="4" t="s">
        <v>135</v>
      </c>
      <c r="AK186" s="4" t="s">
        <v>136</v>
      </c>
      <c r="AL186" s="4" t="s">
        <v>137</v>
      </c>
      <c r="AM186" s="4" t="s">
        <v>138</v>
      </c>
      <c r="AN186" s="4" t="s">
        <v>139</v>
      </c>
      <c r="AO186" s="4" t="s">
        <v>140</v>
      </c>
      <c r="AP186" s="4" t="s">
        <v>141</v>
      </c>
      <c r="AQ186" s="4" t="s">
        <v>142</v>
      </c>
      <c r="AR186" s="4" t="s">
        <v>143</v>
      </c>
      <c r="AS186" s="4"/>
      <c r="AT186" s="4"/>
      <c r="AU186" s="4"/>
    </row>
    <row r="187" spans="1:47" x14ac:dyDescent="0.2">
      <c r="A187" s="7" t="s">
        <v>836</v>
      </c>
      <c r="B187" s="7" t="s">
        <v>837</v>
      </c>
      <c r="C187" s="7" t="s">
        <v>838</v>
      </c>
      <c r="D187" s="7" t="s">
        <v>839</v>
      </c>
      <c r="E187" s="7" t="s">
        <v>776</v>
      </c>
      <c r="M187" s="6"/>
      <c r="N187" s="6"/>
      <c r="O187" s="7" t="s">
        <v>133</v>
      </c>
      <c r="P187" s="7" t="s">
        <v>41</v>
      </c>
      <c r="R187" s="7" t="s">
        <v>41</v>
      </c>
      <c r="S187" s="7">
        <v>2</v>
      </c>
      <c r="T187" s="7">
        <v>2</v>
      </c>
      <c r="U187" s="7"/>
      <c r="V187" s="7"/>
      <c r="W187" s="7"/>
      <c r="X187" s="4" t="s">
        <v>767</v>
      </c>
      <c r="Y187" s="4"/>
      <c r="Z187" s="4"/>
      <c r="AA187" s="4">
        <v>4</v>
      </c>
      <c r="AB187" s="3"/>
      <c r="AC187" s="3"/>
      <c r="AD187" s="3"/>
      <c r="AE187" s="9">
        <v>45987</v>
      </c>
      <c r="AF187" s="9">
        <v>45987</v>
      </c>
      <c r="AG187" s="10">
        <v>0.53388888888888886</v>
      </c>
      <c r="AH187" s="4" t="s">
        <v>26</v>
      </c>
      <c r="AI187" s="4" t="s">
        <v>134</v>
      </c>
      <c r="AJ187" s="4" t="s">
        <v>135</v>
      </c>
      <c r="AK187" s="4" t="s">
        <v>136</v>
      </c>
      <c r="AL187" s="4" t="s">
        <v>137</v>
      </c>
      <c r="AM187" s="4" t="s">
        <v>138</v>
      </c>
      <c r="AN187" s="4" t="s">
        <v>139</v>
      </c>
      <c r="AO187" s="4" t="s">
        <v>140</v>
      </c>
      <c r="AP187" s="4" t="s">
        <v>141</v>
      </c>
      <c r="AQ187" s="4" t="s">
        <v>142</v>
      </c>
      <c r="AR187" s="4" t="s">
        <v>143</v>
      </c>
      <c r="AS187" s="4"/>
      <c r="AT187" s="4"/>
      <c r="AU187" s="4"/>
    </row>
    <row r="188" spans="1:47" x14ac:dyDescent="0.2">
      <c r="A188" s="7" t="s">
        <v>840</v>
      </c>
      <c r="B188" s="7" t="s">
        <v>841</v>
      </c>
      <c r="C188" s="7" t="s">
        <v>842</v>
      </c>
      <c r="D188" s="7" t="s">
        <v>843</v>
      </c>
      <c r="E188" s="7" t="s">
        <v>776</v>
      </c>
      <c r="M188" s="6"/>
      <c r="N188" s="6"/>
      <c r="O188" s="7" t="s">
        <v>24</v>
      </c>
      <c r="P188" s="7" t="s">
        <v>25</v>
      </c>
      <c r="R188" s="7" t="s">
        <v>25</v>
      </c>
      <c r="S188" s="7">
        <v>4</v>
      </c>
      <c r="T188" s="7">
        <v>4</v>
      </c>
      <c r="U188" s="7"/>
      <c r="V188" s="7"/>
      <c r="W188" s="7"/>
      <c r="X188" s="4" t="s">
        <v>766</v>
      </c>
      <c r="Y188" s="4"/>
      <c r="Z188" s="4"/>
      <c r="AA188" s="4">
        <v>4</v>
      </c>
      <c r="AB188" s="3"/>
      <c r="AC188" s="3"/>
      <c r="AD188" s="3"/>
      <c r="AE188" s="9">
        <v>46038</v>
      </c>
      <c r="AF188" s="9">
        <v>46038</v>
      </c>
      <c r="AG188" s="10">
        <v>0.65221064814814811</v>
      </c>
      <c r="AH188" s="4" t="s">
        <v>26</v>
      </c>
      <c r="AI188" s="4" t="s">
        <v>91</v>
      </c>
      <c r="AJ188" s="4" t="s">
        <v>92</v>
      </c>
      <c r="AK188" s="4" t="s">
        <v>93</v>
      </c>
      <c r="AL188" s="4" t="s">
        <v>94</v>
      </c>
      <c r="AM188" s="4" t="s">
        <v>95</v>
      </c>
      <c r="AN188" s="4" t="s">
        <v>96</v>
      </c>
      <c r="AO188" s="4" t="s">
        <v>97</v>
      </c>
      <c r="AP188" s="4" t="s">
        <v>98</v>
      </c>
      <c r="AQ188" s="4" t="s">
        <v>99</v>
      </c>
      <c r="AR188" s="4" t="s">
        <v>100</v>
      </c>
      <c r="AS188" s="4"/>
      <c r="AT188" s="4"/>
      <c r="AU188" s="4"/>
    </row>
    <row r="189" spans="1:47" x14ac:dyDescent="0.2">
      <c r="A189" s="7" t="s">
        <v>844</v>
      </c>
      <c r="B189" s="7" t="s">
        <v>845</v>
      </c>
      <c r="C189" s="7" t="s">
        <v>846</v>
      </c>
      <c r="D189" s="7" t="s">
        <v>847</v>
      </c>
      <c r="E189" s="7" t="s">
        <v>776</v>
      </c>
      <c r="M189" s="6"/>
      <c r="N189" s="6"/>
      <c r="O189" s="7" t="s">
        <v>24</v>
      </c>
      <c r="P189" s="7" t="s">
        <v>25</v>
      </c>
      <c r="R189" s="7" t="s">
        <v>25</v>
      </c>
      <c r="S189" s="7">
        <v>4</v>
      </c>
      <c r="T189" s="7">
        <v>4</v>
      </c>
      <c r="U189" s="7"/>
      <c r="V189" s="7"/>
      <c r="W189" s="7"/>
      <c r="X189" s="4" t="s">
        <v>766</v>
      </c>
      <c r="Y189" s="4"/>
      <c r="Z189" s="4"/>
      <c r="AA189" s="4">
        <v>4</v>
      </c>
      <c r="AB189" s="3"/>
      <c r="AC189" s="3"/>
      <c r="AD189" s="3"/>
      <c r="AE189" s="9">
        <v>46038</v>
      </c>
      <c r="AF189" s="9">
        <v>46038</v>
      </c>
      <c r="AG189" s="10">
        <v>0.65243055555555551</v>
      </c>
      <c r="AH189" s="4" t="s">
        <v>26</v>
      </c>
      <c r="AI189" s="4" t="s">
        <v>91</v>
      </c>
      <c r="AJ189" s="4" t="s">
        <v>92</v>
      </c>
      <c r="AK189" s="4" t="s">
        <v>93</v>
      </c>
      <c r="AL189" s="4" t="s">
        <v>94</v>
      </c>
      <c r="AM189" s="4" t="s">
        <v>95</v>
      </c>
      <c r="AN189" s="4" t="s">
        <v>96</v>
      </c>
      <c r="AO189" s="4" t="s">
        <v>97</v>
      </c>
      <c r="AP189" s="4" t="s">
        <v>98</v>
      </c>
      <c r="AQ189" s="4" t="s">
        <v>99</v>
      </c>
      <c r="AR189" s="4" t="s">
        <v>100</v>
      </c>
      <c r="AS189" s="4"/>
      <c r="AT189" s="4"/>
      <c r="AU189" s="4"/>
    </row>
    <row r="190" spans="1:47" x14ac:dyDescent="0.2">
      <c r="A190" s="7" t="s">
        <v>848</v>
      </c>
      <c r="B190" s="7" t="s">
        <v>849</v>
      </c>
      <c r="C190" s="7" t="s">
        <v>850</v>
      </c>
      <c r="D190" s="7" t="s">
        <v>851</v>
      </c>
      <c r="E190" s="7" t="s">
        <v>776</v>
      </c>
      <c r="M190" s="6"/>
      <c r="N190" s="6"/>
      <c r="O190" s="7" t="s">
        <v>24</v>
      </c>
      <c r="P190" s="7" t="s">
        <v>25</v>
      </c>
      <c r="R190" s="7" t="s">
        <v>25</v>
      </c>
      <c r="S190" s="7">
        <v>4</v>
      </c>
      <c r="T190" s="7">
        <v>4</v>
      </c>
      <c r="U190" s="7"/>
      <c r="V190" s="7"/>
      <c r="W190" s="7"/>
      <c r="X190" s="4" t="s">
        <v>766</v>
      </c>
      <c r="Y190" s="4"/>
      <c r="Z190" s="4"/>
      <c r="AA190" s="4">
        <v>4</v>
      </c>
      <c r="AB190" s="3"/>
      <c r="AC190" s="3"/>
      <c r="AD190" s="3"/>
      <c r="AE190" s="9">
        <v>46038</v>
      </c>
      <c r="AF190" s="9">
        <v>46038</v>
      </c>
      <c r="AG190" s="10">
        <v>0.65271990740740737</v>
      </c>
      <c r="AH190" s="4" t="s">
        <v>26</v>
      </c>
      <c r="AI190" s="4" t="s">
        <v>91</v>
      </c>
      <c r="AJ190" s="4" t="s">
        <v>92</v>
      </c>
      <c r="AK190" s="4" t="s">
        <v>93</v>
      </c>
      <c r="AL190" s="4" t="s">
        <v>94</v>
      </c>
      <c r="AM190" s="4" t="s">
        <v>95</v>
      </c>
      <c r="AN190" s="4" t="s">
        <v>96</v>
      </c>
      <c r="AO190" s="4" t="s">
        <v>97</v>
      </c>
      <c r="AP190" s="4" t="s">
        <v>98</v>
      </c>
      <c r="AQ190" s="4" t="s">
        <v>99</v>
      </c>
      <c r="AR190" s="4" t="s">
        <v>100</v>
      </c>
      <c r="AS190" s="4"/>
      <c r="AT190" s="4"/>
      <c r="AU190" s="4"/>
    </row>
    <row r="191" spans="1:47" x14ac:dyDescent="0.2">
      <c r="A191" s="7" t="s">
        <v>852</v>
      </c>
      <c r="B191" s="7" t="s">
        <v>853</v>
      </c>
      <c r="C191" s="7" t="s">
        <v>854</v>
      </c>
      <c r="D191" s="7" t="s">
        <v>855</v>
      </c>
      <c r="E191" s="7" t="s">
        <v>776</v>
      </c>
      <c r="M191" s="6"/>
      <c r="N191" s="6"/>
      <c r="O191" s="7" t="s">
        <v>24</v>
      </c>
      <c r="P191" s="7" t="s">
        <v>25</v>
      </c>
      <c r="R191" s="7" t="s">
        <v>25</v>
      </c>
      <c r="S191" s="7">
        <v>4</v>
      </c>
      <c r="T191" s="7">
        <v>4</v>
      </c>
      <c r="U191" s="7"/>
      <c r="V191" s="7"/>
      <c r="W191" s="7"/>
      <c r="X191" s="4" t="s">
        <v>766</v>
      </c>
      <c r="Y191" s="4"/>
      <c r="Z191" s="4"/>
      <c r="AA191" s="4">
        <v>4</v>
      </c>
      <c r="AB191" s="3"/>
      <c r="AC191" s="3"/>
      <c r="AD191" s="3"/>
      <c r="AE191" s="9">
        <v>46038</v>
      </c>
      <c r="AF191" s="9">
        <v>46038</v>
      </c>
      <c r="AG191" s="10">
        <v>0.65293981481481478</v>
      </c>
      <c r="AH191" s="4" t="s">
        <v>26</v>
      </c>
      <c r="AI191" s="4" t="s">
        <v>91</v>
      </c>
      <c r="AJ191" s="4" t="s">
        <v>92</v>
      </c>
      <c r="AK191" s="4" t="s">
        <v>93</v>
      </c>
      <c r="AL191" s="4" t="s">
        <v>94</v>
      </c>
      <c r="AM191" s="4" t="s">
        <v>95</v>
      </c>
      <c r="AN191" s="4" t="s">
        <v>96</v>
      </c>
      <c r="AO191" s="4" t="s">
        <v>97</v>
      </c>
      <c r="AP191" s="4" t="s">
        <v>98</v>
      </c>
      <c r="AQ191" s="4" t="s">
        <v>99</v>
      </c>
      <c r="AR191" s="4" t="s">
        <v>100</v>
      </c>
      <c r="AS191" s="4"/>
      <c r="AT191" s="4"/>
      <c r="AU191" s="4"/>
    </row>
    <row r="192" spans="1:47" x14ac:dyDescent="0.2">
      <c r="A192" s="7" t="s">
        <v>856</v>
      </c>
      <c r="B192" s="7" t="s">
        <v>857</v>
      </c>
      <c r="C192" s="7" t="s">
        <v>858</v>
      </c>
      <c r="D192" s="7" t="s">
        <v>859</v>
      </c>
      <c r="E192" s="7" t="s">
        <v>776</v>
      </c>
      <c r="M192" s="6"/>
      <c r="N192" s="6"/>
      <c r="O192" s="7" t="s">
        <v>24</v>
      </c>
      <c r="P192" s="7" t="s">
        <v>25</v>
      </c>
      <c r="R192" s="7" t="s">
        <v>25</v>
      </c>
      <c r="S192" s="7">
        <v>4</v>
      </c>
      <c r="T192" s="7">
        <v>4</v>
      </c>
      <c r="U192" s="7"/>
      <c r="V192" s="7"/>
      <c r="W192" s="7"/>
      <c r="X192" s="4" t="s">
        <v>766</v>
      </c>
      <c r="Y192" s="4"/>
      <c r="Z192" s="4"/>
      <c r="AA192" s="4">
        <v>4</v>
      </c>
      <c r="AB192" s="3"/>
      <c r="AC192" s="3"/>
      <c r="AD192" s="3"/>
      <c r="AE192" s="9">
        <v>46038</v>
      </c>
      <c r="AF192" s="9">
        <v>46038</v>
      </c>
      <c r="AG192" s="10">
        <v>0.65329861111111109</v>
      </c>
      <c r="AH192" s="4" t="s">
        <v>26</v>
      </c>
      <c r="AI192" s="4" t="s">
        <v>91</v>
      </c>
      <c r="AJ192" s="4" t="s">
        <v>92</v>
      </c>
      <c r="AK192" s="4" t="s">
        <v>93</v>
      </c>
      <c r="AL192" s="4" t="s">
        <v>94</v>
      </c>
      <c r="AM192" s="4" t="s">
        <v>95</v>
      </c>
      <c r="AN192" s="4" t="s">
        <v>96</v>
      </c>
      <c r="AO192" s="4" t="s">
        <v>97</v>
      </c>
      <c r="AP192" s="4" t="s">
        <v>98</v>
      </c>
      <c r="AQ192" s="4" t="s">
        <v>99</v>
      </c>
      <c r="AR192" s="4" t="s">
        <v>100</v>
      </c>
      <c r="AS192" s="4"/>
      <c r="AT192" s="4"/>
      <c r="AU192" s="4"/>
    </row>
    <row r="193" spans="1:47" x14ac:dyDescent="0.2">
      <c r="A193" s="7" t="s">
        <v>860</v>
      </c>
      <c r="B193" s="7" t="s">
        <v>861</v>
      </c>
      <c r="C193" s="7" t="s">
        <v>862</v>
      </c>
      <c r="D193" s="7" t="s">
        <v>863</v>
      </c>
      <c r="E193" s="7" t="s">
        <v>776</v>
      </c>
      <c r="M193" s="6"/>
      <c r="N193" s="6"/>
      <c r="O193" s="7" t="s">
        <v>133</v>
      </c>
      <c r="P193" s="7" t="s">
        <v>41</v>
      </c>
      <c r="R193" s="7" t="s">
        <v>41</v>
      </c>
      <c r="S193" s="7">
        <v>5</v>
      </c>
      <c r="T193" s="7">
        <v>5</v>
      </c>
      <c r="U193" s="7"/>
      <c r="V193" s="7"/>
      <c r="W193" s="7"/>
      <c r="X193" s="4" t="s">
        <v>767</v>
      </c>
      <c r="Y193" s="4"/>
      <c r="Z193" s="4"/>
      <c r="AA193" s="4">
        <v>4</v>
      </c>
      <c r="AB193" s="3"/>
      <c r="AC193" s="3"/>
      <c r="AD193" s="3"/>
      <c r="AE193" s="9">
        <v>45987</v>
      </c>
      <c r="AF193" s="9">
        <v>45987</v>
      </c>
      <c r="AG193" s="10">
        <v>0.55553240740740739</v>
      </c>
      <c r="AH193" s="4" t="s">
        <v>26</v>
      </c>
      <c r="AI193" s="4" t="s">
        <v>134</v>
      </c>
      <c r="AJ193" s="4" t="s">
        <v>135</v>
      </c>
      <c r="AK193" s="4" t="s">
        <v>136</v>
      </c>
      <c r="AL193" s="4" t="s">
        <v>137</v>
      </c>
      <c r="AM193" s="4" t="s">
        <v>138</v>
      </c>
      <c r="AN193" s="4" t="s">
        <v>139</v>
      </c>
      <c r="AO193" s="4" t="s">
        <v>140</v>
      </c>
      <c r="AP193" s="4" t="s">
        <v>141</v>
      </c>
      <c r="AQ193" s="4" t="s">
        <v>142</v>
      </c>
      <c r="AR193" s="4" t="s">
        <v>143</v>
      </c>
      <c r="AS193" s="4"/>
      <c r="AT193" s="4"/>
      <c r="AU193" s="4"/>
    </row>
    <row r="194" spans="1:47" x14ac:dyDescent="0.2">
      <c r="A194" s="7" t="s">
        <v>864</v>
      </c>
      <c r="B194" s="7" t="s">
        <v>865</v>
      </c>
      <c r="C194" s="7" t="s">
        <v>866</v>
      </c>
      <c r="D194" s="7" t="s">
        <v>867</v>
      </c>
      <c r="E194" s="7" t="s">
        <v>776</v>
      </c>
      <c r="M194" s="6"/>
      <c r="N194" s="6"/>
      <c r="O194" s="7" t="s">
        <v>133</v>
      </c>
      <c r="P194" s="7" t="s">
        <v>41</v>
      </c>
      <c r="R194" s="7" t="s">
        <v>41</v>
      </c>
      <c r="S194" s="7">
        <v>5</v>
      </c>
      <c r="T194" s="7">
        <v>5</v>
      </c>
      <c r="U194" s="7"/>
      <c r="V194" s="7"/>
      <c r="W194" s="7"/>
      <c r="X194" s="4" t="s">
        <v>767</v>
      </c>
      <c r="Y194" s="4"/>
      <c r="Z194" s="4"/>
      <c r="AA194" s="4">
        <v>4</v>
      </c>
      <c r="AB194" s="3"/>
      <c r="AC194" s="3"/>
      <c r="AD194" s="3"/>
      <c r="AE194" s="9">
        <v>45987</v>
      </c>
      <c r="AF194" s="9">
        <v>45987</v>
      </c>
      <c r="AG194" s="10">
        <v>0.5544675925925926</v>
      </c>
      <c r="AH194" s="4" t="s">
        <v>26</v>
      </c>
      <c r="AI194" s="4" t="s">
        <v>134</v>
      </c>
      <c r="AJ194" s="4" t="s">
        <v>135</v>
      </c>
      <c r="AK194" s="4" t="s">
        <v>136</v>
      </c>
      <c r="AL194" s="4" t="s">
        <v>137</v>
      </c>
      <c r="AM194" s="4" t="s">
        <v>138</v>
      </c>
      <c r="AN194" s="4" t="s">
        <v>139</v>
      </c>
      <c r="AO194" s="4" t="s">
        <v>140</v>
      </c>
      <c r="AP194" s="4" t="s">
        <v>141</v>
      </c>
      <c r="AQ194" s="4" t="s">
        <v>142</v>
      </c>
      <c r="AR194" s="4" t="s">
        <v>143</v>
      </c>
      <c r="AS194" s="4"/>
      <c r="AT194" s="4"/>
      <c r="AU194" s="4"/>
    </row>
    <row r="195" spans="1:47" x14ac:dyDescent="0.2">
      <c r="A195" s="7" t="s">
        <v>868</v>
      </c>
      <c r="B195" s="7" t="s">
        <v>869</v>
      </c>
      <c r="C195" s="7" t="s">
        <v>870</v>
      </c>
      <c r="D195" s="7" t="s">
        <v>871</v>
      </c>
      <c r="E195" s="7" t="s">
        <v>776</v>
      </c>
      <c r="M195" s="6"/>
      <c r="N195" s="6"/>
      <c r="O195" s="7" t="s">
        <v>133</v>
      </c>
      <c r="P195" s="7" t="s">
        <v>41</v>
      </c>
      <c r="R195" s="7" t="s">
        <v>41</v>
      </c>
      <c r="S195" s="7">
        <v>6</v>
      </c>
      <c r="T195" s="7">
        <v>6</v>
      </c>
      <c r="U195" s="7"/>
      <c r="V195" s="7"/>
      <c r="W195" s="7"/>
      <c r="X195" s="4" t="s">
        <v>767</v>
      </c>
      <c r="Y195" s="4"/>
      <c r="Z195" s="4"/>
      <c r="AA195" s="4">
        <v>4</v>
      </c>
      <c r="AB195" s="3"/>
      <c r="AC195" s="3"/>
      <c r="AD195" s="3"/>
      <c r="AE195" s="9">
        <v>45987</v>
      </c>
      <c r="AF195" s="9">
        <v>45987</v>
      </c>
      <c r="AG195" s="10">
        <v>0.56734953703703705</v>
      </c>
      <c r="AH195" s="4" t="s">
        <v>26</v>
      </c>
      <c r="AI195" s="4" t="s">
        <v>134</v>
      </c>
      <c r="AJ195" s="4" t="s">
        <v>135</v>
      </c>
      <c r="AK195" s="4" t="s">
        <v>136</v>
      </c>
      <c r="AL195" s="4" t="s">
        <v>137</v>
      </c>
      <c r="AM195" s="4" t="s">
        <v>138</v>
      </c>
      <c r="AN195" s="4" t="s">
        <v>139</v>
      </c>
      <c r="AO195" s="4" t="s">
        <v>140</v>
      </c>
      <c r="AP195" s="4" t="s">
        <v>141</v>
      </c>
      <c r="AQ195" s="4" t="s">
        <v>142</v>
      </c>
      <c r="AR195" s="4" t="s">
        <v>143</v>
      </c>
      <c r="AS195" s="4"/>
      <c r="AT195" s="4"/>
      <c r="AU195" s="4"/>
    </row>
    <row r="196" spans="1:47" x14ac:dyDescent="0.2">
      <c r="A196" s="7" t="s">
        <v>872</v>
      </c>
      <c r="B196" s="7" t="s">
        <v>873</v>
      </c>
      <c r="C196" s="7" t="s">
        <v>874</v>
      </c>
      <c r="D196" s="7" t="s">
        <v>875</v>
      </c>
      <c r="E196" s="7" t="s">
        <v>776</v>
      </c>
      <c r="M196" s="6"/>
      <c r="N196" s="6"/>
      <c r="O196" s="7" t="s">
        <v>133</v>
      </c>
      <c r="P196" s="7" t="s">
        <v>41</v>
      </c>
      <c r="R196" s="7" t="s">
        <v>41</v>
      </c>
      <c r="S196" s="7">
        <v>1</v>
      </c>
      <c r="T196" s="7">
        <v>1</v>
      </c>
      <c r="U196" s="7"/>
      <c r="V196" s="7"/>
      <c r="W196" s="7"/>
      <c r="X196" s="4" t="s">
        <v>767</v>
      </c>
      <c r="Y196" s="4"/>
      <c r="Z196" s="4"/>
      <c r="AA196" s="4">
        <v>5</v>
      </c>
      <c r="AB196" s="3"/>
      <c r="AC196" s="3"/>
      <c r="AD196" s="3"/>
      <c r="AE196" s="9">
        <v>45987</v>
      </c>
      <c r="AF196" s="9">
        <v>45987</v>
      </c>
      <c r="AG196" s="10">
        <v>0.52690972222222221</v>
      </c>
      <c r="AH196" s="4" t="s">
        <v>188</v>
      </c>
      <c r="AI196" s="4" t="s">
        <v>134</v>
      </c>
      <c r="AJ196" s="4" t="s">
        <v>135</v>
      </c>
      <c r="AK196" s="4" t="s">
        <v>136</v>
      </c>
      <c r="AL196" s="4" t="s">
        <v>137</v>
      </c>
      <c r="AM196" s="4" t="s">
        <v>138</v>
      </c>
      <c r="AN196" s="4" t="s">
        <v>139</v>
      </c>
      <c r="AO196" s="4" t="s">
        <v>140</v>
      </c>
      <c r="AP196" s="4" t="s">
        <v>141</v>
      </c>
      <c r="AQ196" s="4" t="s">
        <v>142</v>
      </c>
      <c r="AR196" s="4" t="s">
        <v>143</v>
      </c>
      <c r="AS196" s="4"/>
      <c r="AT196" s="4"/>
      <c r="AU196" s="4"/>
    </row>
    <row r="197" spans="1:47" x14ac:dyDescent="0.2">
      <c r="A197" s="7" t="s">
        <v>876</v>
      </c>
      <c r="B197" s="7" t="s">
        <v>877</v>
      </c>
      <c r="C197" s="7" t="s">
        <v>878</v>
      </c>
      <c r="D197" s="7" t="s">
        <v>879</v>
      </c>
      <c r="E197" s="7" t="s">
        <v>776</v>
      </c>
      <c r="M197" s="6"/>
      <c r="N197" s="6"/>
      <c r="O197" s="7" t="s">
        <v>133</v>
      </c>
      <c r="P197" s="7" t="s">
        <v>41</v>
      </c>
      <c r="R197" s="7" t="s">
        <v>41</v>
      </c>
      <c r="S197" s="7">
        <v>1</v>
      </c>
      <c r="T197" s="7">
        <v>1</v>
      </c>
      <c r="U197" s="7"/>
      <c r="V197" s="7"/>
      <c r="W197" s="7"/>
      <c r="X197" s="4" t="s">
        <v>767</v>
      </c>
      <c r="Y197" s="4"/>
      <c r="Z197" s="4"/>
      <c r="AA197" s="4">
        <v>5</v>
      </c>
      <c r="AB197" s="3"/>
      <c r="AC197" s="3"/>
      <c r="AD197" s="3"/>
      <c r="AE197" s="9">
        <v>45987</v>
      </c>
      <c r="AF197" s="9">
        <v>45987</v>
      </c>
      <c r="AG197" s="10">
        <v>0.52598379629629632</v>
      </c>
      <c r="AH197" s="4" t="s">
        <v>188</v>
      </c>
      <c r="AI197" s="4" t="s">
        <v>134</v>
      </c>
      <c r="AJ197" s="4" t="s">
        <v>135</v>
      </c>
      <c r="AK197" s="4" t="s">
        <v>136</v>
      </c>
      <c r="AL197" s="4" t="s">
        <v>137</v>
      </c>
      <c r="AM197" s="4" t="s">
        <v>138</v>
      </c>
      <c r="AN197" s="4" t="s">
        <v>139</v>
      </c>
      <c r="AO197" s="4" t="s">
        <v>140</v>
      </c>
      <c r="AP197" s="4" t="s">
        <v>141</v>
      </c>
      <c r="AQ197" s="4" t="s">
        <v>142</v>
      </c>
      <c r="AR197" s="4" t="s">
        <v>143</v>
      </c>
      <c r="AS197" s="4"/>
      <c r="AT197" s="4"/>
      <c r="AU197" s="4"/>
    </row>
    <row r="198" spans="1:47" x14ac:dyDescent="0.2">
      <c r="A198" s="7" t="s">
        <v>880</v>
      </c>
      <c r="B198" s="7" t="s">
        <v>881</v>
      </c>
      <c r="C198" s="7" t="s">
        <v>882</v>
      </c>
      <c r="D198" s="7" t="s">
        <v>883</v>
      </c>
      <c r="E198" s="7" t="s">
        <v>776</v>
      </c>
      <c r="M198" s="6"/>
      <c r="N198" s="6"/>
      <c r="O198" s="7" t="s">
        <v>133</v>
      </c>
      <c r="P198" s="7" t="s">
        <v>41</v>
      </c>
      <c r="R198" s="7" t="s">
        <v>41</v>
      </c>
      <c r="S198" s="7">
        <v>2</v>
      </c>
      <c r="T198" s="7">
        <v>2</v>
      </c>
      <c r="U198" s="7"/>
      <c r="V198" s="7"/>
      <c r="W198" s="7"/>
      <c r="X198" s="4" t="s">
        <v>767</v>
      </c>
      <c r="Y198" s="4"/>
      <c r="Z198" s="4"/>
      <c r="AA198" s="4">
        <v>5</v>
      </c>
      <c r="AB198" s="3"/>
      <c r="AC198" s="3"/>
      <c r="AD198" s="3"/>
      <c r="AE198" s="9">
        <v>45987</v>
      </c>
      <c r="AF198" s="9">
        <v>45987</v>
      </c>
      <c r="AG198" s="10">
        <v>0.53270833333333334</v>
      </c>
      <c r="AH198" s="4" t="s">
        <v>188</v>
      </c>
      <c r="AI198" s="4" t="s">
        <v>134</v>
      </c>
      <c r="AJ198" s="4" t="s">
        <v>135</v>
      </c>
      <c r="AK198" s="4" t="s">
        <v>136</v>
      </c>
      <c r="AL198" s="4" t="s">
        <v>137</v>
      </c>
      <c r="AM198" s="4" t="s">
        <v>138</v>
      </c>
      <c r="AN198" s="4" t="s">
        <v>139</v>
      </c>
      <c r="AO198" s="4" t="s">
        <v>140</v>
      </c>
      <c r="AP198" s="4" t="s">
        <v>141</v>
      </c>
      <c r="AQ198" s="4" t="s">
        <v>142</v>
      </c>
      <c r="AR198" s="4" t="s">
        <v>143</v>
      </c>
      <c r="AS198" s="4"/>
      <c r="AT198" s="4"/>
      <c r="AU198" s="4"/>
    </row>
    <row r="199" spans="1:47" x14ac:dyDescent="0.2">
      <c r="A199" s="7" t="s">
        <v>884</v>
      </c>
      <c r="B199" s="7" t="s">
        <v>885</v>
      </c>
      <c r="C199" s="7" t="s">
        <v>886</v>
      </c>
      <c r="D199" s="7" t="s">
        <v>887</v>
      </c>
      <c r="E199" s="7" t="s">
        <v>776</v>
      </c>
      <c r="M199" s="6"/>
      <c r="N199" s="6"/>
      <c r="O199" s="7" t="s">
        <v>133</v>
      </c>
      <c r="P199" s="7" t="s">
        <v>41</v>
      </c>
      <c r="R199" s="7" t="s">
        <v>41</v>
      </c>
      <c r="S199" s="7">
        <v>2</v>
      </c>
      <c r="T199" s="7">
        <v>2</v>
      </c>
      <c r="U199" s="7"/>
      <c r="V199" s="7"/>
      <c r="W199" s="7"/>
      <c r="X199" s="4" t="s">
        <v>767</v>
      </c>
      <c r="Y199" s="4"/>
      <c r="Z199" s="4"/>
      <c r="AA199" s="4">
        <v>5</v>
      </c>
      <c r="AB199" s="3"/>
      <c r="AC199" s="3"/>
      <c r="AD199" s="3"/>
      <c r="AE199" s="9">
        <v>45987</v>
      </c>
      <c r="AF199" s="9">
        <v>45987</v>
      </c>
      <c r="AG199" s="10">
        <v>0.53241898148148148</v>
      </c>
      <c r="AH199" s="4" t="s">
        <v>188</v>
      </c>
      <c r="AI199" s="4" t="s">
        <v>134</v>
      </c>
      <c r="AJ199" s="4" t="s">
        <v>135</v>
      </c>
      <c r="AK199" s="4" t="s">
        <v>136</v>
      </c>
      <c r="AL199" s="4" t="s">
        <v>137</v>
      </c>
      <c r="AM199" s="4" t="s">
        <v>138</v>
      </c>
      <c r="AN199" s="4" t="s">
        <v>139</v>
      </c>
      <c r="AO199" s="4" t="s">
        <v>140</v>
      </c>
      <c r="AP199" s="4" t="s">
        <v>141</v>
      </c>
      <c r="AQ199" s="4" t="s">
        <v>142</v>
      </c>
      <c r="AR199" s="4" t="s">
        <v>143</v>
      </c>
      <c r="AS199" s="4"/>
      <c r="AT199" s="4"/>
      <c r="AU199" s="4"/>
    </row>
    <row r="200" spans="1:47" x14ac:dyDescent="0.2">
      <c r="A200" s="7" t="s">
        <v>888</v>
      </c>
      <c r="B200" s="7" t="s">
        <v>889</v>
      </c>
      <c r="C200" s="7" t="s">
        <v>890</v>
      </c>
      <c r="D200" s="7" t="s">
        <v>891</v>
      </c>
      <c r="E200" s="7" t="s">
        <v>776</v>
      </c>
      <c r="M200" s="6"/>
      <c r="N200" s="6"/>
      <c r="O200" s="7" t="s">
        <v>133</v>
      </c>
      <c r="P200" s="7" t="s">
        <v>41</v>
      </c>
      <c r="R200" s="7" t="s">
        <v>41</v>
      </c>
      <c r="S200" s="7">
        <v>2</v>
      </c>
      <c r="T200" s="7">
        <v>2</v>
      </c>
      <c r="U200" s="7"/>
      <c r="V200" s="7"/>
      <c r="W200" s="7"/>
      <c r="X200" s="4" t="s">
        <v>767</v>
      </c>
      <c r="Y200" s="4"/>
      <c r="Z200" s="4"/>
      <c r="AA200" s="4">
        <v>5</v>
      </c>
      <c r="AB200" s="3"/>
      <c r="AC200" s="3"/>
      <c r="AD200" s="3"/>
      <c r="AE200" s="9">
        <v>45987</v>
      </c>
      <c r="AF200" s="9">
        <v>45987</v>
      </c>
      <c r="AG200" s="10">
        <v>0.53388888888888886</v>
      </c>
      <c r="AH200" s="4" t="s">
        <v>188</v>
      </c>
      <c r="AI200" s="4" t="s">
        <v>134</v>
      </c>
      <c r="AJ200" s="4" t="s">
        <v>135</v>
      </c>
      <c r="AK200" s="4" t="s">
        <v>136</v>
      </c>
      <c r="AL200" s="4" t="s">
        <v>137</v>
      </c>
      <c r="AM200" s="4" t="s">
        <v>138</v>
      </c>
      <c r="AN200" s="4" t="s">
        <v>139</v>
      </c>
      <c r="AO200" s="4" t="s">
        <v>140</v>
      </c>
      <c r="AP200" s="4" t="s">
        <v>141</v>
      </c>
      <c r="AQ200" s="4" t="s">
        <v>142</v>
      </c>
      <c r="AR200" s="4" t="s">
        <v>143</v>
      </c>
      <c r="AS200" s="4"/>
      <c r="AT200" s="4"/>
      <c r="AU200" s="4"/>
    </row>
    <row r="201" spans="1:47" x14ac:dyDescent="0.2">
      <c r="A201" s="7" t="s">
        <v>892</v>
      </c>
      <c r="B201" s="7" t="s">
        <v>893</v>
      </c>
      <c r="C201" s="7" t="s">
        <v>894</v>
      </c>
      <c r="D201" s="7" t="s">
        <v>895</v>
      </c>
      <c r="E201" s="7" t="s">
        <v>776</v>
      </c>
      <c r="M201" s="6"/>
      <c r="N201" s="6"/>
      <c r="O201" s="7" t="s">
        <v>133</v>
      </c>
      <c r="P201" s="7" t="s">
        <v>41</v>
      </c>
      <c r="R201" s="7" t="s">
        <v>41</v>
      </c>
      <c r="S201" s="7">
        <v>2</v>
      </c>
      <c r="T201" s="7">
        <v>2</v>
      </c>
      <c r="U201" s="7"/>
      <c r="V201" s="7"/>
      <c r="W201" s="7"/>
      <c r="X201" s="4" t="s">
        <v>767</v>
      </c>
      <c r="Y201" s="4"/>
      <c r="Z201" s="4"/>
      <c r="AA201" s="4">
        <v>5</v>
      </c>
      <c r="AB201" s="3"/>
      <c r="AC201" s="3"/>
      <c r="AD201" s="3"/>
      <c r="AE201" s="9">
        <v>45987</v>
      </c>
      <c r="AF201" s="9">
        <v>45987</v>
      </c>
      <c r="AG201" s="10">
        <v>0.53431712962962963</v>
      </c>
      <c r="AH201" s="4" t="s">
        <v>188</v>
      </c>
      <c r="AI201" s="4" t="s">
        <v>134</v>
      </c>
      <c r="AJ201" s="4" t="s">
        <v>135</v>
      </c>
      <c r="AK201" s="4" t="s">
        <v>136</v>
      </c>
      <c r="AL201" s="4" t="s">
        <v>137</v>
      </c>
      <c r="AM201" s="4" t="s">
        <v>138</v>
      </c>
      <c r="AN201" s="4" t="s">
        <v>139</v>
      </c>
      <c r="AO201" s="4" t="s">
        <v>140</v>
      </c>
      <c r="AP201" s="4" t="s">
        <v>141</v>
      </c>
      <c r="AQ201" s="4" t="s">
        <v>142</v>
      </c>
      <c r="AR201" s="4" t="s">
        <v>143</v>
      </c>
      <c r="AS201" s="4"/>
      <c r="AT201" s="4"/>
      <c r="AU201" s="4"/>
    </row>
    <row r="202" spans="1:47" x14ac:dyDescent="0.2">
      <c r="A202" s="7" t="s">
        <v>896</v>
      </c>
      <c r="B202" s="7" t="s">
        <v>897</v>
      </c>
      <c r="C202" s="7" t="s">
        <v>898</v>
      </c>
      <c r="D202" s="7" t="s">
        <v>899</v>
      </c>
      <c r="E202" s="7" t="s">
        <v>776</v>
      </c>
      <c r="M202" s="6"/>
      <c r="N202" s="6"/>
      <c r="O202" s="7" t="s">
        <v>133</v>
      </c>
      <c r="P202" s="7" t="s">
        <v>41</v>
      </c>
      <c r="R202" s="7" t="s">
        <v>41</v>
      </c>
      <c r="S202" s="7">
        <v>2</v>
      </c>
      <c r="T202" s="7">
        <v>2</v>
      </c>
      <c r="U202" s="7"/>
      <c r="V202" s="7"/>
      <c r="W202" s="7"/>
      <c r="X202" s="4" t="s">
        <v>767</v>
      </c>
      <c r="Y202" s="4"/>
      <c r="Z202" s="4"/>
      <c r="AA202" s="4">
        <v>5</v>
      </c>
      <c r="AB202" s="3"/>
      <c r="AC202" s="3"/>
      <c r="AD202" s="3"/>
      <c r="AE202" s="9">
        <v>45987</v>
      </c>
      <c r="AF202" s="9">
        <v>45987</v>
      </c>
      <c r="AG202" s="10">
        <v>0.53722222222222227</v>
      </c>
      <c r="AH202" s="4" t="s">
        <v>188</v>
      </c>
      <c r="AI202" s="4" t="s">
        <v>134</v>
      </c>
      <c r="AJ202" s="4" t="s">
        <v>135</v>
      </c>
      <c r="AK202" s="4" t="s">
        <v>136</v>
      </c>
      <c r="AL202" s="4" t="s">
        <v>137</v>
      </c>
      <c r="AM202" s="4" t="s">
        <v>138</v>
      </c>
      <c r="AN202" s="4" t="s">
        <v>139</v>
      </c>
      <c r="AO202" s="4" t="s">
        <v>140</v>
      </c>
      <c r="AP202" s="4" t="s">
        <v>141</v>
      </c>
      <c r="AQ202" s="4" t="s">
        <v>142</v>
      </c>
      <c r="AR202" s="4" t="s">
        <v>143</v>
      </c>
      <c r="AS202" s="4"/>
      <c r="AT202" s="4"/>
      <c r="AU202" s="4"/>
    </row>
    <row r="203" spans="1:47" x14ac:dyDescent="0.2">
      <c r="A203" s="7" t="s">
        <v>900</v>
      </c>
      <c r="B203" s="7" t="s">
        <v>901</v>
      </c>
      <c r="C203" s="7" t="s">
        <v>902</v>
      </c>
      <c r="D203" s="7" t="s">
        <v>903</v>
      </c>
      <c r="E203" s="7" t="s">
        <v>776</v>
      </c>
      <c r="M203" s="6"/>
      <c r="N203" s="6"/>
      <c r="O203" s="7" t="s">
        <v>24</v>
      </c>
      <c r="P203" s="7" t="s">
        <v>25</v>
      </c>
      <c r="R203" s="7" t="s">
        <v>25</v>
      </c>
      <c r="S203" s="7">
        <v>4</v>
      </c>
      <c r="T203" s="7">
        <v>4</v>
      </c>
      <c r="U203" s="7"/>
      <c r="V203" s="7"/>
      <c r="W203" s="7"/>
      <c r="X203" s="4" t="s">
        <v>766</v>
      </c>
      <c r="Y203" s="4"/>
      <c r="Z203" s="4"/>
      <c r="AA203" s="4">
        <v>5</v>
      </c>
      <c r="AB203" s="3"/>
      <c r="AC203" s="3"/>
      <c r="AD203" s="3"/>
      <c r="AE203" s="9">
        <v>46038</v>
      </c>
      <c r="AF203" s="9">
        <v>46038</v>
      </c>
      <c r="AG203" s="10">
        <v>0.65181712962962968</v>
      </c>
      <c r="AH203" s="4" t="s">
        <v>188</v>
      </c>
      <c r="AI203" s="4" t="s">
        <v>91</v>
      </c>
      <c r="AJ203" s="4" t="s">
        <v>92</v>
      </c>
      <c r="AK203" s="4" t="s">
        <v>93</v>
      </c>
      <c r="AL203" s="4" t="s">
        <v>94</v>
      </c>
      <c r="AM203" s="4" t="s">
        <v>95</v>
      </c>
      <c r="AN203" s="4" t="s">
        <v>96</v>
      </c>
      <c r="AO203" s="4" t="s">
        <v>97</v>
      </c>
      <c r="AP203" s="4" t="s">
        <v>98</v>
      </c>
      <c r="AQ203" s="4" t="s">
        <v>99</v>
      </c>
      <c r="AR203" s="4" t="s">
        <v>100</v>
      </c>
      <c r="AS203" s="4"/>
      <c r="AT203" s="4"/>
      <c r="AU203" s="4"/>
    </row>
    <row r="204" spans="1:47" x14ac:dyDescent="0.2">
      <c r="A204" s="7" t="s">
        <v>904</v>
      </c>
      <c r="B204" s="7" t="s">
        <v>905</v>
      </c>
      <c r="C204" s="7" t="s">
        <v>906</v>
      </c>
      <c r="D204" s="7" t="s">
        <v>907</v>
      </c>
      <c r="E204" s="7" t="s">
        <v>776</v>
      </c>
      <c r="M204" s="6"/>
      <c r="N204" s="6"/>
      <c r="O204" s="7" t="s">
        <v>24</v>
      </c>
      <c r="P204" s="7" t="s">
        <v>25</v>
      </c>
      <c r="R204" s="7" t="s">
        <v>25</v>
      </c>
      <c r="S204" s="7">
        <v>4</v>
      </c>
      <c r="T204" s="7">
        <v>4</v>
      </c>
      <c r="U204" s="7"/>
      <c r="V204" s="7"/>
      <c r="W204" s="7"/>
      <c r="X204" s="4" t="s">
        <v>766</v>
      </c>
      <c r="Y204" s="4"/>
      <c r="Z204" s="4"/>
      <c r="AA204" s="4">
        <v>5</v>
      </c>
      <c r="AB204" s="3"/>
      <c r="AC204" s="3"/>
      <c r="AD204" s="3"/>
      <c r="AE204" s="9">
        <v>46038</v>
      </c>
      <c r="AF204" s="9">
        <v>46038</v>
      </c>
      <c r="AG204" s="10">
        <v>0.65221064814814811</v>
      </c>
      <c r="AH204" s="4" t="s">
        <v>188</v>
      </c>
      <c r="AI204" s="4" t="s">
        <v>91</v>
      </c>
      <c r="AJ204" s="4" t="s">
        <v>92</v>
      </c>
      <c r="AK204" s="4" t="s">
        <v>93</v>
      </c>
      <c r="AL204" s="4" t="s">
        <v>94</v>
      </c>
      <c r="AM204" s="4" t="s">
        <v>95</v>
      </c>
      <c r="AN204" s="4" t="s">
        <v>96</v>
      </c>
      <c r="AO204" s="4" t="s">
        <v>97</v>
      </c>
      <c r="AP204" s="4" t="s">
        <v>98</v>
      </c>
      <c r="AQ204" s="4" t="s">
        <v>99</v>
      </c>
      <c r="AR204" s="4" t="s">
        <v>100</v>
      </c>
      <c r="AS204" s="4"/>
      <c r="AT204" s="4"/>
      <c r="AU204" s="4"/>
    </row>
    <row r="205" spans="1:47" x14ac:dyDescent="0.2">
      <c r="A205" s="7" t="s">
        <v>908</v>
      </c>
      <c r="B205" s="7" t="s">
        <v>909</v>
      </c>
      <c r="C205" s="7" t="s">
        <v>910</v>
      </c>
      <c r="D205" s="7" t="s">
        <v>911</v>
      </c>
      <c r="E205" s="7" t="s">
        <v>776</v>
      </c>
      <c r="M205" s="6"/>
      <c r="N205" s="6"/>
      <c r="O205" s="7" t="s">
        <v>24</v>
      </c>
      <c r="P205" s="7" t="s">
        <v>25</v>
      </c>
      <c r="R205" s="7" t="s">
        <v>25</v>
      </c>
      <c r="S205" s="7">
        <v>4</v>
      </c>
      <c r="T205" s="7">
        <v>4</v>
      </c>
      <c r="U205" s="7"/>
      <c r="V205" s="7"/>
      <c r="W205" s="7"/>
      <c r="X205" s="4" t="s">
        <v>766</v>
      </c>
      <c r="Y205" s="4"/>
      <c r="Z205" s="4"/>
      <c r="AA205" s="4">
        <v>5</v>
      </c>
      <c r="AB205" s="3"/>
      <c r="AC205" s="3"/>
      <c r="AD205" s="3"/>
      <c r="AE205" s="9">
        <v>46038</v>
      </c>
      <c r="AF205" s="9">
        <v>46038</v>
      </c>
      <c r="AG205" s="10">
        <v>0.65243055555555551</v>
      </c>
      <c r="AH205" s="4" t="s">
        <v>188</v>
      </c>
      <c r="AI205" s="4" t="s">
        <v>91</v>
      </c>
      <c r="AJ205" s="4" t="s">
        <v>92</v>
      </c>
      <c r="AK205" s="4" t="s">
        <v>93</v>
      </c>
      <c r="AL205" s="4" t="s">
        <v>94</v>
      </c>
      <c r="AM205" s="4" t="s">
        <v>95</v>
      </c>
      <c r="AN205" s="4" t="s">
        <v>96</v>
      </c>
      <c r="AO205" s="4" t="s">
        <v>97</v>
      </c>
      <c r="AP205" s="4" t="s">
        <v>98</v>
      </c>
      <c r="AQ205" s="4" t="s">
        <v>99</v>
      </c>
      <c r="AR205" s="4" t="s">
        <v>100</v>
      </c>
      <c r="AS205" s="4"/>
      <c r="AT205" s="4"/>
      <c r="AU205" s="4"/>
    </row>
    <row r="206" spans="1:47" x14ac:dyDescent="0.2">
      <c r="A206" s="7" t="s">
        <v>912</v>
      </c>
      <c r="B206" s="7" t="s">
        <v>913</v>
      </c>
      <c r="C206" s="7" t="s">
        <v>914</v>
      </c>
      <c r="D206" s="7" t="s">
        <v>915</v>
      </c>
      <c r="E206" s="7" t="s">
        <v>776</v>
      </c>
      <c r="M206" s="6"/>
      <c r="N206" s="6"/>
      <c r="O206" s="7" t="s">
        <v>24</v>
      </c>
      <c r="P206" s="7" t="s">
        <v>25</v>
      </c>
      <c r="R206" s="7" t="s">
        <v>25</v>
      </c>
      <c r="S206" s="7">
        <v>4</v>
      </c>
      <c r="T206" s="7">
        <v>4</v>
      </c>
      <c r="U206" s="7"/>
      <c r="V206" s="7"/>
      <c r="W206" s="7"/>
      <c r="X206" s="4" t="s">
        <v>766</v>
      </c>
      <c r="Y206" s="4"/>
      <c r="Z206" s="4"/>
      <c r="AA206" s="4">
        <v>5</v>
      </c>
      <c r="AB206" s="3"/>
      <c r="AC206" s="3"/>
      <c r="AD206" s="3"/>
      <c r="AE206" s="9">
        <v>46038</v>
      </c>
      <c r="AF206" s="9">
        <v>46038</v>
      </c>
      <c r="AG206" s="10">
        <v>0.65271990740740737</v>
      </c>
      <c r="AH206" s="4" t="s">
        <v>188</v>
      </c>
      <c r="AI206" s="4" t="s">
        <v>91</v>
      </c>
      <c r="AJ206" s="4" t="s">
        <v>92</v>
      </c>
      <c r="AK206" s="4" t="s">
        <v>93</v>
      </c>
      <c r="AL206" s="4" t="s">
        <v>94</v>
      </c>
      <c r="AM206" s="4" t="s">
        <v>95</v>
      </c>
      <c r="AN206" s="4" t="s">
        <v>96</v>
      </c>
      <c r="AO206" s="4" t="s">
        <v>97</v>
      </c>
      <c r="AP206" s="4" t="s">
        <v>98</v>
      </c>
      <c r="AQ206" s="4" t="s">
        <v>99</v>
      </c>
      <c r="AR206" s="4" t="s">
        <v>100</v>
      </c>
      <c r="AS206" s="4"/>
      <c r="AT206" s="4"/>
      <c r="AU206" s="4"/>
    </row>
    <row r="207" spans="1:47" x14ac:dyDescent="0.2">
      <c r="A207" s="7" t="s">
        <v>916</v>
      </c>
      <c r="B207" s="7" t="s">
        <v>917</v>
      </c>
      <c r="C207" s="7" t="s">
        <v>918</v>
      </c>
      <c r="D207" s="7" t="s">
        <v>919</v>
      </c>
      <c r="E207" s="7" t="s">
        <v>776</v>
      </c>
      <c r="M207" s="6"/>
      <c r="N207" s="6"/>
      <c r="O207" s="7" t="s">
        <v>24</v>
      </c>
      <c r="P207" s="7" t="s">
        <v>25</v>
      </c>
      <c r="R207" s="7" t="s">
        <v>25</v>
      </c>
      <c r="S207" s="7">
        <v>4</v>
      </c>
      <c r="T207" s="7">
        <v>4</v>
      </c>
      <c r="U207" s="7"/>
      <c r="V207" s="7"/>
      <c r="W207" s="7"/>
      <c r="X207" s="4" t="s">
        <v>766</v>
      </c>
      <c r="Y207" s="4"/>
      <c r="Z207" s="4"/>
      <c r="AA207" s="4">
        <v>5</v>
      </c>
      <c r="AB207" s="3"/>
      <c r="AC207" s="3"/>
      <c r="AD207" s="3"/>
      <c r="AE207" s="9">
        <v>46038</v>
      </c>
      <c r="AF207" s="9">
        <v>46038</v>
      </c>
      <c r="AG207" s="10">
        <v>0.65293981481481478</v>
      </c>
      <c r="AH207" s="4" t="s">
        <v>188</v>
      </c>
      <c r="AI207" s="4" t="s">
        <v>91</v>
      </c>
      <c r="AJ207" s="4" t="s">
        <v>92</v>
      </c>
      <c r="AK207" s="4" t="s">
        <v>93</v>
      </c>
      <c r="AL207" s="4" t="s">
        <v>94</v>
      </c>
      <c r="AM207" s="4" t="s">
        <v>95</v>
      </c>
      <c r="AN207" s="4" t="s">
        <v>96</v>
      </c>
      <c r="AO207" s="4" t="s">
        <v>97</v>
      </c>
      <c r="AP207" s="4" t="s">
        <v>98</v>
      </c>
      <c r="AQ207" s="4" t="s">
        <v>99</v>
      </c>
      <c r="AR207" s="4" t="s">
        <v>100</v>
      </c>
      <c r="AS207" s="4"/>
      <c r="AT207" s="4"/>
      <c r="AU207" s="4"/>
    </row>
    <row r="208" spans="1:47" x14ac:dyDescent="0.2">
      <c r="A208" s="7" t="s">
        <v>920</v>
      </c>
      <c r="B208" s="7" t="s">
        <v>921</v>
      </c>
      <c r="C208" s="7" t="s">
        <v>922</v>
      </c>
      <c r="D208" s="7" t="s">
        <v>923</v>
      </c>
      <c r="E208" s="7" t="s">
        <v>776</v>
      </c>
      <c r="M208" s="6"/>
      <c r="N208" s="6"/>
      <c r="O208" s="7" t="s">
        <v>24</v>
      </c>
      <c r="P208" s="7" t="s">
        <v>25</v>
      </c>
      <c r="R208" s="7" t="s">
        <v>25</v>
      </c>
      <c r="S208" s="7">
        <v>4</v>
      </c>
      <c r="T208" s="7">
        <v>4</v>
      </c>
      <c r="U208" s="7"/>
      <c r="V208" s="7"/>
      <c r="W208" s="7"/>
      <c r="X208" s="4" t="s">
        <v>766</v>
      </c>
      <c r="Y208" s="4"/>
      <c r="Z208" s="4"/>
      <c r="AA208" s="4">
        <v>5</v>
      </c>
      <c r="AB208" s="3"/>
      <c r="AC208" s="3"/>
      <c r="AD208" s="3"/>
      <c r="AE208" s="9">
        <v>46038</v>
      </c>
      <c r="AF208" s="9">
        <v>46038</v>
      </c>
      <c r="AG208" s="10">
        <v>0.65329861111111109</v>
      </c>
      <c r="AH208" s="4" t="s">
        <v>188</v>
      </c>
      <c r="AI208" s="4" t="s">
        <v>91</v>
      </c>
      <c r="AJ208" s="4" t="s">
        <v>92</v>
      </c>
      <c r="AK208" s="4" t="s">
        <v>93</v>
      </c>
      <c r="AL208" s="4" t="s">
        <v>94</v>
      </c>
      <c r="AM208" s="4" t="s">
        <v>95</v>
      </c>
      <c r="AN208" s="4" t="s">
        <v>96</v>
      </c>
      <c r="AO208" s="4" t="s">
        <v>97</v>
      </c>
      <c r="AP208" s="4" t="s">
        <v>98</v>
      </c>
      <c r="AQ208" s="4" t="s">
        <v>99</v>
      </c>
      <c r="AR208" s="4" t="s">
        <v>100</v>
      </c>
      <c r="AS208" s="4"/>
      <c r="AT208" s="4"/>
      <c r="AU208" s="4"/>
    </row>
    <row r="209" spans="1:47" x14ac:dyDescent="0.2">
      <c r="A209" s="7" t="s">
        <v>924</v>
      </c>
      <c r="B209" s="7" t="s">
        <v>925</v>
      </c>
      <c r="C209" s="7" t="s">
        <v>926</v>
      </c>
      <c r="D209" s="7" t="s">
        <v>927</v>
      </c>
      <c r="E209" s="7" t="s">
        <v>776</v>
      </c>
      <c r="M209" s="6"/>
      <c r="N209" s="6"/>
      <c r="O209" s="7" t="s">
        <v>24</v>
      </c>
      <c r="P209" s="7" t="s">
        <v>25</v>
      </c>
      <c r="R209" s="7" t="s">
        <v>25</v>
      </c>
      <c r="S209" s="7">
        <v>5</v>
      </c>
      <c r="T209" s="7">
        <v>5</v>
      </c>
      <c r="U209" s="7">
        <v>58</v>
      </c>
      <c r="V209" s="7">
        <v>512</v>
      </c>
      <c r="W209" s="7"/>
      <c r="X209" s="4" t="s">
        <v>767</v>
      </c>
      <c r="Y209" s="4"/>
      <c r="Z209" s="4" t="s">
        <v>928</v>
      </c>
      <c r="AA209" s="4">
        <v>5</v>
      </c>
      <c r="AB209" s="3"/>
      <c r="AC209" s="3"/>
      <c r="AD209" s="3"/>
      <c r="AE209" s="9">
        <v>46038</v>
      </c>
      <c r="AF209" s="9">
        <v>46038</v>
      </c>
      <c r="AG209" s="10">
        <v>0.65837962962962959</v>
      </c>
      <c r="AH209" s="4" t="s">
        <v>188</v>
      </c>
      <c r="AI209" s="4" t="s">
        <v>91</v>
      </c>
      <c r="AJ209" s="4" t="s">
        <v>92</v>
      </c>
      <c r="AK209" s="4" t="s">
        <v>93</v>
      </c>
      <c r="AL209" s="4" t="s">
        <v>94</v>
      </c>
      <c r="AM209" s="4" t="s">
        <v>95</v>
      </c>
      <c r="AN209" s="4" t="s">
        <v>96</v>
      </c>
      <c r="AO209" s="4" t="s">
        <v>97</v>
      </c>
      <c r="AP209" s="4" t="s">
        <v>98</v>
      </c>
      <c r="AQ209" s="4" t="s">
        <v>99</v>
      </c>
      <c r="AR209" s="4" t="s">
        <v>100</v>
      </c>
      <c r="AS209" s="4"/>
      <c r="AT209" s="4"/>
      <c r="AU209" s="4"/>
    </row>
    <row r="210" spans="1:47" x14ac:dyDescent="0.2">
      <c r="A210" s="7" t="s">
        <v>929</v>
      </c>
      <c r="B210" s="7" t="s">
        <v>930</v>
      </c>
      <c r="C210" s="7" t="s">
        <v>931</v>
      </c>
      <c r="D210" s="7" t="s">
        <v>932</v>
      </c>
      <c r="E210" s="7" t="s">
        <v>776</v>
      </c>
      <c r="M210" s="6"/>
      <c r="N210" s="6"/>
      <c r="O210" s="7" t="s">
        <v>133</v>
      </c>
      <c r="P210" s="7" t="s">
        <v>41</v>
      </c>
      <c r="R210" s="7" t="s">
        <v>41</v>
      </c>
      <c r="S210" s="7">
        <v>5</v>
      </c>
      <c r="T210" s="7">
        <v>5</v>
      </c>
      <c r="U210" s="7"/>
      <c r="V210" s="7"/>
      <c r="W210" s="7"/>
      <c r="X210" s="4" t="s">
        <v>767</v>
      </c>
      <c r="Y210" s="4"/>
      <c r="Z210" s="4" t="s">
        <v>928</v>
      </c>
      <c r="AA210" s="4">
        <v>5</v>
      </c>
      <c r="AB210" s="3"/>
      <c r="AC210" s="3"/>
      <c r="AD210" s="3"/>
      <c r="AE210" s="9">
        <v>45987</v>
      </c>
      <c r="AF210" s="9">
        <v>45987</v>
      </c>
      <c r="AG210" s="10">
        <v>0.5559143518518519</v>
      </c>
      <c r="AH210" s="4" t="s">
        <v>188</v>
      </c>
      <c r="AI210" s="4" t="s">
        <v>134</v>
      </c>
      <c r="AJ210" s="4" t="s">
        <v>135</v>
      </c>
      <c r="AK210" s="4" t="s">
        <v>136</v>
      </c>
      <c r="AL210" s="4" t="s">
        <v>137</v>
      </c>
      <c r="AM210" s="4" t="s">
        <v>138</v>
      </c>
      <c r="AN210" s="4" t="s">
        <v>139</v>
      </c>
      <c r="AO210" s="4" t="s">
        <v>140</v>
      </c>
      <c r="AP210" s="4" t="s">
        <v>141</v>
      </c>
      <c r="AQ210" s="4" t="s">
        <v>142</v>
      </c>
      <c r="AR210" s="4" t="s">
        <v>143</v>
      </c>
      <c r="AS210" s="4"/>
      <c r="AT210" s="4"/>
      <c r="AU210" s="4"/>
    </row>
    <row r="211" spans="1:47" x14ac:dyDescent="0.2">
      <c r="A211" s="7" t="s">
        <v>933</v>
      </c>
      <c r="B211" s="7" t="s">
        <v>934</v>
      </c>
      <c r="C211" s="7" t="s">
        <v>935</v>
      </c>
      <c r="D211" s="7" t="s">
        <v>936</v>
      </c>
      <c r="E211" s="7" t="s">
        <v>776</v>
      </c>
      <c r="M211" s="6"/>
      <c r="N211" s="6"/>
      <c r="O211" s="7" t="s">
        <v>133</v>
      </c>
      <c r="P211" s="7" t="s">
        <v>25</v>
      </c>
      <c r="R211" s="7" t="s">
        <v>25</v>
      </c>
      <c r="S211" s="7">
        <v>5</v>
      </c>
      <c r="T211" s="7">
        <v>5</v>
      </c>
      <c r="U211" s="7">
        <v>195</v>
      </c>
      <c r="V211" s="7">
        <v>449</v>
      </c>
      <c r="W211" s="7"/>
      <c r="X211" s="4" t="s">
        <v>767</v>
      </c>
      <c r="Y211" s="4"/>
      <c r="Z211" s="4" t="s">
        <v>928</v>
      </c>
      <c r="AA211" s="4">
        <v>5</v>
      </c>
      <c r="AB211" s="3"/>
      <c r="AC211" s="3"/>
      <c r="AD211" s="3"/>
      <c r="AE211" s="9">
        <v>45987</v>
      </c>
      <c r="AF211" s="9">
        <v>45987</v>
      </c>
      <c r="AG211" s="10">
        <v>0.51052083333333331</v>
      </c>
      <c r="AH211" s="4" t="s">
        <v>188</v>
      </c>
      <c r="AI211" s="4" t="s">
        <v>134</v>
      </c>
      <c r="AJ211" s="4" t="s">
        <v>135</v>
      </c>
      <c r="AK211" s="4" t="s">
        <v>136</v>
      </c>
      <c r="AL211" s="4" t="s">
        <v>137</v>
      </c>
      <c r="AM211" s="4" t="s">
        <v>138</v>
      </c>
      <c r="AN211" s="4" t="s">
        <v>139</v>
      </c>
      <c r="AO211" s="4" t="s">
        <v>140</v>
      </c>
      <c r="AP211" s="4" t="s">
        <v>141</v>
      </c>
      <c r="AQ211" s="4" t="s">
        <v>142</v>
      </c>
      <c r="AR211" s="4" t="s">
        <v>143</v>
      </c>
      <c r="AS211" s="4"/>
      <c r="AT211" s="4"/>
      <c r="AU211" s="4"/>
    </row>
    <row r="212" spans="1:47" x14ac:dyDescent="0.2">
      <c r="A212" s="7" t="s">
        <v>937</v>
      </c>
      <c r="B212" s="7" t="s">
        <v>938</v>
      </c>
      <c r="C212" s="7" t="s">
        <v>939</v>
      </c>
      <c r="D212" s="7" t="s">
        <v>940</v>
      </c>
      <c r="E212" s="7" t="s">
        <v>776</v>
      </c>
      <c r="M212" s="6"/>
      <c r="N212" s="6"/>
      <c r="O212" s="7" t="s">
        <v>133</v>
      </c>
      <c r="P212" s="7" t="s">
        <v>41</v>
      </c>
      <c r="R212" s="7" t="s">
        <v>41</v>
      </c>
      <c r="S212" s="7">
        <v>5</v>
      </c>
      <c r="T212" s="7">
        <v>5</v>
      </c>
      <c r="U212" s="7"/>
      <c r="V212" s="7"/>
      <c r="W212" s="7"/>
      <c r="X212" s="4" t="s">
        <v>767</v>
      </c>
      <c r="Y212" s="4"/>
      <c r="Z212" s="4"/>
      <c r="AA212" s="4">
        <v>5</v>
      </c>
      <c r="AB212" s="3"/>
      <c r="AC212" s="3"/>
      <c r="AD212" s="3"/>
      <c r="AE212" s="9">
        <v>45987</v>
      </c>
      <c r="AF212" s="9">
        <v>45987</v>
      </c>
      <c r="AG212" s="10">
        <v>0.55553240740740739</v>
      </c>
      <c r="AH212" s="4" t="s">
        <v>188</v>
      </c>
      <c r="AI212" s="4" t="s">
        <v>134</v>
      </c>
      <c r="AJ212" s="4" t="s">
        <v>135</v>
      </c>
      <c r="AK212" s="4" t="s">
        <v>136</v>
      </c>
      <c r="AL212" s="4" t="s">
        <v>137</v>
      </c>
      <c r="AM212" s="4" t="s">
        <v>138</v>
      </c>
      <c r="AN212" s="4" t="s">
        <v>139</v>
      </c>
      <c r="AO212" s="4" t="s">
        <v>140</v>
      </c>
      <c r="AP212" s="4" t="s">
        <v>141</v>
      </c>
      <c r="AQ212" s="4" t="s">
        <v>142</v>
      </c>
      <c r="AR212" s="4" t="s">
        <v>143</v>
      </c>
      <c r="AS212" s="4"/>
      <c r="AT212" s="4"/>
      <c r="AU212" s="4"/>
    </row>
    <row r="213" spans="1:47" x14ac:dyDescent="0.2">
      <c r="A213" s="7" t="s">
        <v>941</v>
      </c>
      <c r="B213" s="7" t="s">
        <v>942</v>
      </c>
      <c r="C213" s="7" t="s">
        <v>943</v>
      </c>
      <c r="D213" s="7" t="s">
        <v>944</v>
      </c>
      <c r="E213" s="7" t="s">
        <v>776</v>
      </c>
      <c r="M213" s="6"/>
      <c r="N213" s="6"/>
      <c r="O213" s="7" t="s">
        <v>133</v>
      </c>
      <c r="P213" s="7" t="s">
        <v>41</v>
      </c>
      <c r="R213" s="7" t="s">
        <v>41</v>
      </c>
      <c r="S213" s="7">
        <v>5</v>
      </c>
      <c r="T213" s="7">
        <v>5</v>
      </c>
      <c r="U213" s="7"/>
      <c r="V213" s="7"/>
      <c r="W213" s="7"/>
      <c r="X213" s="4" t="s">
        <v>767</v>
      </c>
      <c r="Y213" s="4"/>
      <c r="Z213" s="4"/>
      <c r="AA213" s="4">
        <v>5</v>
      </c>
      <c r="AB213" s="3"/>
      <c r="AC213" s="3"/>
      <c r="AD213" s="3"/>
      <c r="AE213" s="9">
        <v>45987</v>
      </c>
      <c r="AF213" s="9">
        <v>45987</v>
      </c>
      <c r="AG213" s="10">
        <v>0.5544675925925926</v>
      </c>
      <c r="AH213" s="4" t="s">
        <v>188</v>
      </c>
      <c r="AI213" s="4" t="s">
        <v>134</v>
      </c>
      <c r="AJ213" s="4" t="s">
        <v>135</v>
      </c>
      <c r="AK213" s="4" t="s">
        <v>136</v>
      </c>
      <c r="AL213" s="4" t="s">
        <v>137</v>
      </c>
      <c r="AM213" s="4" t="s">
        <v>138</v>
      </c>
      <c r="AN213" s="4" t="s">
        <v>139</v>
      </c>
      <c r="AO213" s="4" t="s">
        <v>140</v>
      </c>
      <c r="AP213" s="4" t="s">
        <v>141</v>
      </c>
      <c r="AQ213" s="4" t="s">
        <v>142</v>
      </c>
      <c r="AR213" s="4" t="s">
        <v>143</v>
      </c>
      <c r="AS213" s="4"/>
      <c r="AT213" s="4"/>
      <c r="AU213" s="4"/>
    </row>
    <row r="214" spans="1:47" x14ac:dyDescent="0.2">
      <c r="A214" s="7" t="s">
        <v>945</v>
      </c>
      <c r="B214" s="7" t="s">
        <v>946</v>
      </c>
      <c r="C214" s="7" t="s">
        <v>947</v>
      </c>
      <c r="D214" s="7" t="s">
        <v>948</v>
      </c>
      <c r="E214" s="7" t="s">
        <v>776</v>
      </c>
      <c r="M214" s="6"/>
      <c r="N214" s="6"/>
      <c r="O214" s="7" t="s">
        <v>133</v>
      </c>
      <c r="P214" s="7" t="s">
        <v>41</v>
      </c>
      <c r="R214" s="7" t="s">
        <v>41</v>
      </c>
      <c r="S214" s="7">
        <v>6</v>
      </c>
      <c r="T214" s="7">
        <v>6</v>
      </c>
      <c r="U214" s="7"/>
      <c r="V214" s="7"/>
      <c r="W214" s="7"/>
      <c r="X214" s="4" t="s">
        <v>767</v>
      </c>
      <c r="Y214" s="4"/>
      <c r="Z214" s="4" t="s">
        <v>928</v>
      </c>
      <c r="AA214" s="4">
        <v>5</v>
      </c>
      <c r="AB214" s="3"/>
      <c r="AC214" s="3"/>
      <c r="AD214" s="3"/>
      <c r="AE214" s="9">
        <v>45987</v>
      </c>
      <c r="AF214" s="9">
        <v>45987</v>
      </c>
      <c r="AG214" s="10">
        <v>0.56734953703703705</v>
      </c>
      <c r="AH214" s="4" t="s">
        <v>188</v>
      </c>
      <c r="AI214" s="4" t="s">
        <v>134</v>
      </c>
      <c r="AJ214" s="4" t="s">
        <v>135</v>
      </c>
      <c r="AK214" s="4" t="s">
        <v>136</v>
      </c>
      <c r="AL214" s="4" t="s">
        <v>137</v>
      </c>
      <c r="AM214" s="4" t="s">
        <v>138</v>
      </c>
      <c r="AN214" s="4" t="s">
        <v>139</v>
      </c>
      <c r="AO214" s="4" t="s">
        <v>140</v>
      </c>
      <c r="AP214" s="4" t="s">
        <v>141</v>
      </c>
      <c r="AQ214" s="4" t="s">
        <v>142</v>
      </c>
      <c r="AR214" s="4" t="s">
        <v>143</v>
      </c>
      <c r="AS214" s="4"/>
      <c r="AT214" s="4"/>
      <c r="AU214" s="4"/>
    </row>
    <row r="215" spans="1:47" x14ac:dyDescent="0.2">
      <c r="A215" s="7" t="s">
        <v>949</v>
      </c>
      <c r="B215" s="7" t="s">
        <v>950</v>
      </c>
      <c r="C215" s="7" t="s">
        <v>951</v>
      </c>
      <c r="D215" s="7" t="s">
        <v>952</v>
      </c>
      <c r="E215" s="7" t="s">
        <v>776</v>
      </c>
      <c r="M215" s="6"/>
      <c r="N215" s="6"/>
      <c r="O215" s="7" t="s">
        <v>133</v>
      </c>
      <c r="P215" s="7" t="s">
        <v>25</v>
      </c>
      <c r="R215" s="7" t="s">
        <v>25</v>
      </c>
      <c r="S215" s="7">
        <v>6</v>
      </c>
      <c r="T215" s="7">
        <v>6</v>
      </c>
      <c r="U215" s="7">
        <v>80</v>
      </c>
      <c r="V215" s="7">
        <v>520</v>
      </c>
      <c r="W215" s="7"/>
      <c r="X215" s="4" t="s">
        <v>767</v>
      </c>
      <c r="Y215" s="4"/>
      <c r="Z215" s="4" t="s">
        <v>928</v>
      </c>
      <c r="AA215" s="4">
        <v>5</v>
      </c>
      <c r="AB215" s="3"/>
      <c r="AC215" s="3"/>
      <c r="AD215" s="3"/>
      <c r="AE215" s="9">
        <v>45987</v>
      </c>
      <c r="AF215" s="9">
        <v>45987</v>
      </c>
      <c r="AG215" s="10">
        <v>0.51753472222222219</v>
      </c>
      <c r="AH215" s="4" t="s">
        <v>188</v>
      </c>
      <c r="AI215" s="4" t="s">
        <v>134</v>
      </c>
      <c r="AJ215" s="4" t="s">
        <v>135</v>
      </c>
      <c r="AK215" s="4" t="s">
        <v>136</v>
      </c>
      <c r="AL215" s="4" t="s">
        <v>137</v>
      </c>
      <c r="AM215" s="4" t="s">
        <v>138</v>
      </c>
      <c r="AN215" s="4" t="s">
        <v>139</v>
      </c>
      <c r="AO215" s="4" t="s">
        <v>140</v>
      </c>
      <c r="AP215" s="4" t="s">
        <v>141</v>
      </c>
      <c r="AQ215" s="4" t="s">
        <v>142</v>
      </c>
      <c r="AR215" s="4" t="s">
        <v>143</v>
      </c>
      <c r="AS215" s="4"/>
      <c r="AT215" s="4"/>
      <c r="AU215" s="4"/>
    </row>
    <row r="216" spans="1:47" x14ac:dyDescent="0.2">
      <c r="A216" s="7" t="s">
        <v>953</v>
      </c>
      <c r="B216" s="7" t="s">
        <v>954</v>
      </c>
      <c r="C216" s="7" t="s">
        <v>955</v>
      </c>
      <c r="D216" s="7" t="s">
        <v>956</v>
      </c>
      <c r="E216" s="7" t="s">
        <v>776</v>
      </c>
      <c r="M216" s="6"/>
      <c r="N216" s="6"/>
      <c r="O216" s="7" t="s">
        <v>133</v>
      </c>
      <c r="P216" s="7" t="s">
        <v>41</v>
      </c>
      <c r="R216" s="7" t="s">
        <v>41</v>
      </c>
      <c r="S216" s="7">
        <v>6</v>
      </c>
      <c r="T216" s="7">
        <v>6</v>
      </c>
      <c r="U216" s="7"/>
      <c r="V216" s="7"/>
      <c r="W216" s="7"/>
      <c r="X216" s="4" t="s">
        <v>767</v>
      </c>
      <c r="Y216" s="4"/>
      <c r="Z216" s="4"/>
      <c r="AA216" s="4">
        <v>4</v>
      </c>
      <c r="AB216" s="3"/>
      <c r="AC216" s="3"/>
      <c r="AD216" s="3"/>
      <c r="AE216" s="9">
        <v>45987</v>
      </c>
      <c r="AF216" s="9">
        <v>45987</v>
      </c>
      <c r="AG216" s="10">
        <v>0.56565972222222227</v>
      </c>
      <c r="AH216" s="4" t="s">
        <v>26</v>
      </c>
      <c r="AI216" s="4" t="s">
        <v>134</v>
      </c>
      <c r="AJ216" s="4" t="s">
        <v>135</v>
      </c>
      <c r="AK216" s="4" t="s">
        <v>136</v>
      </c>
      <c r="AL216" s="4" t="s">
        <v>137</v>
      </c>
      <c r="AM216" s="4" t="s">
        <v>138</v>
      </c>
      <c r="AN216" s="4" t="s">
        <v>139</v>
      </c>
      <c r="AO216" s="4" t="s">
        <v>140</v>
      </c>
      <c r="AP216" s="4" t="s">
        <v>141</v>
      </c>
      <c r="AQ216" s="4" t="s">
        <v>142</v>
      </c>
      <c r="AR216" s="4" t="s">
        <v>143</v>
      </c>
      <c r="AS216" s="4"/>
      <c r="AT216" s="4"/>
      <c r="AU216" s="4"/>
    </row>
    <row r="217" spans="1:47" x14ac:dyDescent="0.2">
      <c r="A217" s="7" t="s">
        <v>957</v>
      </c>
      <c r="B217" s="7" t="s">
        <v>958</v>
      </c>
      <c r="C217" s="7" t="s">
        <v>959</v>
      </c>
      <c r="D217" s="7" t="s">
        <v>960</v>
      </c>
      <c r="E217" s="7" t="s">
        <v>776</v>
      </c>
      <c r="M217" s="6"/>
      <c r="N217" s="6"/>
      <c r="O217" s="7" t="s">
        <v>133</v>
      </c>
      <c r="P217" s="7" t="s">
        <v>41</v>
      </c>
      <c r="R217" s="7" t="s">
        <v>41</v>
      </c>
      <c r="S217" s="7">
        <v>6</v>
      </c>
      <c r="T217" s="7">
        <v>6</v>
      </c>
      <c r="U217" s="7">
        <v>288</v>
      </c>
      <c r="V217" s="7">
        <v>351</v>
      </c>
      <c r="W217" s="7"/>
      <c r="X217" s="4" t="s">
        <v>767</v>
      </c>
      <c r="Y217" s="4"/>
      <c r="Z217" s="4" t="s">
        <v>928</v>
      </c>
      <c r="AA217" s="4">
        <v>5</v>
      </c>
      <c r="AB217" s="3"/>
      <c r="AC217" s="3"/>
      <c r="AD217" s="3"/>
      <c r="AE217" s="9">
        <v>45987</v>
      </c>
      <c r="AF217" s="9">
        <v>45987</v>
      </c>
      <c r="AG217" s="10">
        <v>0.56565972222222227</v>
      </c>
      <c r="AH217" s="4" t="s">
        <v>188</v>
      </c>
      <c r="AI217" s="4" t="s">
        <v>134</v>
      </c>
      <c r="AJ217" s="4" t="s">
        <v>135</v>
      </c>
      <c r="AK217" s="4" t="s">
        <v>136</v>
      </c>
      <c r="AL217" s="4" t="s">
        <v>137</v>
      </c>
      <c r="AM217" s="4" t="s">
        <v>138</v>
      </c>
      <c r="AN217" s="4" t="s">
        <v>139</v>
      </c>
      <c r="AO217" s="4" t="s">
        <v>140</v>
      </c>
      <c r="AP217" s="4" t="s">
        <v>141</v>
      </c>
      <c r="AQ217" s="4" t="s">
        <v>142</v>
      </c>
      <c r="AR217" s="4" t="s">
        <v>143</v>
      </c>
      <c r="AS217" s="4"/>
      <c r="AT217" s="4"/>
      <c r="AU217" s="4"/>
    </row>
    <row r="218" spans="1:47" x14ac:dyDescent="0.2">
      <c r="AE218" s="1"/>
      <c r="AF218" s="1"/>
      <c r="AG218" s="2"/>
    </row>
    <row r="219" spans="1:47" x14ac:dyDescent="0.2">
      <c r="AE219" s="1"/>
      <c r="AF219" s="1"/>
      <c r="AG219" s="2"/>
    </row>
    <row r="220" spans="1:47" x14ac:dyDescent="0.2">
      <c r="AE220" s="1"/>
      <c r="AF220" s="1"/>
      <c r="AG220" s="2"/>
    </row>
    <row r="221" spans="1:47" x14ac:dyDescent="0.2">
      <c r="AE221" s="1"/>
      <c r="AF221" s="1"/>
      <c r="AG221" s="2"/>
    </row>
    <row r="222" spans="1:47" x14ac:dyDescent="0.2">
      <c r="AE222" s="1"/>
      <c r="AF222" s="1"/>
      <c r="AG222" s="2"/>
    </row>
    <row r="223" spans="1:47" x14ac:dyDescent="0.2">
      <c r="AE223" s="1"/>
      <c r="AF223" s="1"/>
      <c r="AG223" s="2"/>
    </row>
    <row r="224" spans="1:47" x14ac:dyDescent="0.2">
      <c r="AE224" s="1"/>
      <c r="AF224" s="1"/>
      <c r="AG224" s="2"/>
    </row>
    <row r="225" spans="31:33" x14ac:dyDescent="0.2">
      <c r="AE225" s="1"/>
      <c r="AF225" s="1"/>
      <c r="AG225" s="2"/>
    </row>
    <row r="226" spans="31:33" x14ac:dyDescent="0.2">
      <c r="AE226" s="1"/>
      <c r="AF226" s="1"/>
      <c r="AG226" s="2"/>
    </row>
    <row r="227" spans="31:33" x14ac:dyDescent="0.2">
      <c r="AE227" s="1"/>
      <c r="AF227" s="1"/>
      <c r="AG227" s="2"/>
    </row>
    <row r="228" spans="31:33" x14ac:dyDescent="0.2">
      <c r="AE228" s="1"/>
      <c r="AF228" s="1"/>
      <c r="AG228" s="2"/>
    </row>
    <row r="229" spans="31:33" x14ac:dyDescent="0.2">
      <c r="AE229" s="1"/>
      <c r="AF229" s="1"/>
      <c r="AG229" s="2"/>
    </row>
    <row r="230" spans="31:33" x14ac:dyDescent="0.2">
      <c r="AE230" s="1"/>
      <c r="AF230" s="1"/>
      <c r="AG230" s="2"/>
    </row>
    <row r="231" spans="31:33" x14ac:dyDescent="0.2">
      <c r="AE231" s="1"/>
      <c r="AF231" s="1"/>
      <c r="AG231" s="2"/>
    </row>
    <row r="232" spans="31:33" x14ac:dyDescent="0.2">
      <c r="AE232" s="1"/>
      <c r="AF232" s="1"/>
      <c r="AG232" s="2"/>
    </row>
    <row r="233" spans="31:33" x14ac:dyDescent="0.2">
      <c r="AE233" s="1"/>
      <c r="AF233" s="1"/>
      <c r="AG233" s="2"/>
    </row>
    <row r="234" spans="31:33" x14ac:dyDescent="0.2">
      <c r="AE234" s="1"/>
      <c r="AF234" s="1"/>
      <c r="AG234" s="2"/>
    </row>
    <row r="235" spans="31:33" x14ac:dyDescent="0.2">
      <c r="AE235" s="1"/>
      <c r="AF235" s="1"/>
      <c r="AG235" s="2"/>
    </row>
    <row r="236" spans="31:33" x14ac:dyDescent="0.2">
      <c r="AE236" s="1"/>
      <c r="AF236" s="1"/>
      <c r="AG236" s="2"/>
    </row>
    <row r="237" spans="31:33" x14ac:dyDescent="0.2">
      <c r="AE237" s="1"/>
      <c r="AF237" s="1"/>
      <c r="AG237" s="2"/>
    </row>
    <row r="238" spans="31:33" x14ac:dyDescent="0.2">
      <c r="AE238" s="1"/>
      <c r="AF238" s="1"/>
      <c r="AG238" s="2"/>
    </row>
    <row r="239" spans="31:33" x14ac:dyDescent="0.2">
      <c r="AE239" s="1"/>
      <c r="AF239" s="1"/>
      <c r="AG239" s="2"/>
    </row>
    <row r="240" spans="31:33" x14ac:dyDescent="0.2">
      <c r="AE240" s="1"/>
      <c r="AF240" s="1"/>
      <c r="AG240" s="2"/>
    </row>
    <row r="241" spans="31:33" x14ac:dyDescent="0.2">
      <c r="AE241" s="1"/>
      <c r="AF241" s="1"/>
      <c r="AG241" s="2"/>
    </row>
    <row r="242" spans="31:33" x14ac:dyDescent="0.2">
      <c r="AE242" s="1"/>
      <c r="AF242" s="1"/>
      <c r="AG242" s="2"/>
    </row>
    <row r="243" spans="31:33" x14ac:dyDescent="0.2">
      <c r="AE243" s="1"/>
      <c r="AF243" s="1"/>
      <c r="AG243" s="2"/>
    </row>
    <row r="244" spans="31:33" x14ac:dyDescent="0.2">
      <c r="AE244" s="1"/>
      <c r="AF244" s="1"/>
      <c r="AG244" s="2"/>
    </row>
    <row r="245" spans="31:33" x14ac:dyDescent="0.2">
      <c r="AE245" s="1"/>
      <c r="AF245" s="1"/>
      <c r="AG245" s="2"/>
    </row>
    <row r="246" spans="31:33" x14ac:dyDescent="0.2">
      <c r="AE246" s="1"/>
      <c r="AF246" s="1"/>
      <c r="AG246" s="2"/>
    </row>
    <row r="247" spans="31:33" x14ac:dyDescent="0.2">
      <c r="AE247" s="1"/>
      <c r="AF247" s="1"/>
      <c r="AG247" s="2"/>
    </row>
    <row r="248" spans="31:33" x14ac:dyDescent="0.2">
      <c r="AE248" s="1"/>
      <c r="AF248" s="1"/>
      <c r="AG248" s="2"/>
    </row>
    <row r="249" spans="31:33" x14ac:dyDescent="0.2">
      <c r="AE249" s="1"/>
      <c r="AF249" s="1"/>
      <c r="AG249" s="2"/>
    </row>
    <row r="250" spans="31:33" x14ac:dyDescent="0.2">
      <c r="AE250" s="1"/>
      <c r="AF250" s="1"/>
      <c r="AG250" s="2"/>
    </row>
    <row r="251" spans="31:33" x14ac:dyDescent="0.2">
      <c r="AE251" s="1"/>
      <c r="AF251" s="1"/>
      <c r="AG251" s="2"/>
    </row>
    <row r="252" spans="31:33" x14ac:dyDescent="0.2">
      <c r="AE252" s="1"/>
      <c r="AF252" s="1"/>
      <c r="AG252" s="2"/>
    </row>
    <row r="253" spans="31:33" x14ac:dyDescent="0.2">
      <c r="AE253" s="1"/>
      <c r="AF253" s="1"/>
      <c r="AG253" s="2"/>
    </row>
    <row r="254" spans="31:33" x14ac:dyDescent="0.2">
      <c r="AE254" s="1"/>
      <c r="AF254" s="1"/>
      <c r="AG254" s="2"/>
    </row>
    <row r="255" spans="31:33" x14ac:dyDescent="0.2">
      <c r="AE255" s="1"/>
      <c r="AF255" s="1"/>
      <c r="AG255" s="2"/>
    </row>
    <row r="256" spans="31:33" x14ac:dyDescent="0.2">
      <c r="AE256" s="1"/>
      <c r="AF256" s="1"/>
      <c r="AG256" s="2"/>
    </row>
    <row r="257" spans="31:33" x14ac:dyDescent="0.2">
      <c r="AE257" s="1"/>
      <c r="AF257" s="1"/>
      <c r="AG257" s="2"/>
    </row>
    <row r="258" spans="31:33" x14ac:dyDescent="0.2">
      <c r="AE258" s="1"/>
      <c r="AF258" s="1"/>
      <c r="AG258" s="2"/>
    </row>
    <row r="259" spans="31:33" x14ac:dyDescent="0.2">
      <c r="AE259" s="1"/>
      <c r="AF259" s="1"/>
      <c r="AG259" s="2"/>
    </row>
    <row r="260" spans="31:33" x14ac:dyDescent="0.2">
      <c r="AE260" s="1"/>
      <c r="AF260" s="1"/>
      <c r="AG260" s="2"/>
    </row>
    <row r="261" spans="31:33" x14ac:dyDescent="0.2">
      <c r="AE261" s="1"/>
      <c r="AF261" s="1"/>
      <c r="AG261" s="2"/>
    </row>
    <row r="262" spans="31:33" x14ac:dyDescent="0.2">
      <c r="AE262" s="1"/>
      <c r="AF262" s="1"/>
      <c r="AG262" s="2"/>
    </row>
    <row r="263" spans="31:33" x14ac:dyDescent="0.2">
      <c r="AE263" s="1"/>
      <c r="AF263" s="1"/>
      <c r="AG263" s="2"/>
    </row>
    <row r="264" spans="31:33" x14ac:dyDescent="0.2">
      <c r="AE264" s="1"/>
      <c r="AF264" s="1"/>
      <c r="AG264" s="2"/>
    </row>
    <row r="265" spans="31:33" x14ac:dyDescent="0.2">
      <c r="AE265" s="1"/>
      <c r="AF265" s="1"/>
      <c r="AG265" s="2"/>
    </row>
    <row r="266" spans="31:33" x14ac:dyDescent="0.2">
      <c r="AE266" s="1"/>
      <c r="AF266" s="1"/>
      <c r="AG266" s="2"/>
    </row>
    <row r="267" spans="31:33" x14ac:dyDescent="0.2">
      <c r="AE267" s="1"/>
      <c r="AF267" s="1"/>
      <c r="AG267" s="2"/>
    </row>
    <row r="268" spans="31:33" x14ac:dyDescent="0.2">
      <c r="AE268" s="1"/>
      <c r="AF268" s="1"/>
      <c r="AG268" s="2"/>
    </row>
    <row r="269" spans="31:33" x14ac:dyDescent="0.2">
      <c r="AE269" s="1"/>
      <c r="AF269" s="1"/>
      <c r="AG269" s="2"/>
    </row>
    <row r="270" spans="31:33" x14ac:dyDescent="0.2">
      <c r="AE270" s="1"/>
      <c r="AF270" s="1"/>
      <c r="AG270" s="2"/>
    </row>
    <row r="271" spans="31:33" x14ac:dyDescent="0.2">
      <c r="AE271" s="1"/>
      <c r="AF271" s="1"/>
      <c r="AG271" s="2"/>
    </row>
    <row r="272" spans="31:33" x14ac:dyDescent="0.2">
      <c r="AE272" s="1"/>
      <c r="AF272" s="1"/>
      <c r="AG272" s="2"/>
    </row>
    <row r="273" spans="31:33" x14ac:dyDescent="0.2">
      <c r="AE273" s="1"/>
      <c r="AF273" s="1"/>
      <c r="AG273" s="2"/>
    </row>
    <row r="274" spans="31:33" x14ac:dyDescent="0.2">
      <c r="AE274" s="1"/>
      <c r="AF274" s="1"/>
      <c r="AG274" s="2"/>
    </row>
    <row r="275" spans="31:33" x14ac:dyDescent="0.2">
      <c r="AE275" s="1"/>
      <c r="AF275" s="1"/>
      <c r="AG275" s="2"/>
    </row>
    <row r="276" spans="31:33" x14ac:dyDescent="0.2">
      <c r="AE276" s="1"/>
      <c r="AF276" s="1"/>
      <c r="AG276" s="2"/>
    </row>
    <row r="277" spans="31:33" x14ac:dyDescent="0.2">
      <c r="AE277" s="1"/>
      <c r="AF277" s="1"/>
      <c r="AG277" s="2"/>
    </row>
    <row r="278" spans="31:33" x14ac:dyDescent="0.2">
      <c r="AE278" s="1"/>
      <c r="AF278" s="1"/>
      <c r="AG278" s="2"/>
    </row>
    <row r="279" spans="31:33" x14ac:dyDescent="0.2">
      <c r="AE279" s="1"/>
      <c r="AF279" s="1"/>
      <c r="AG279" s="2"/>
    </row>
    <row r="280" spans="31:33" x14ac:dyDescent="0.2">
      <c r="AE280" s="1"/>
      <c r="AF280" s="1"/>
      <c r="AG280" s="2"/>
    </row>
    <row r="281" spans="31:33" x14ac:dyDescent="0.2">
      <c r="AE281" s="1"/>
      <c r="AF281" s="1"/>
      <c r="AG281" s="2"/>
    </row>
    <row r="282" spans="31:33" x14ac:dyDescent="0.2">
      <c r="AE282" s="1"/>
      <c r="AF282" s="1"/>
      <c r="AG282" s="2"/>
    </row>
    <row r="283" spans="31:33" x14ac:dyDescent="0.2">
      <c r="AE283" s="1"/>
      <c r="AF283" s="1"/>
      <c r="AG283" s="2"/>
    </row>
    <row r="284" spans="31:33" x14ac:dyDescent="0.2">
      <c r="AE284" s="1"/>
      <c r="AF284" s="1"/>
      <c r="AG284" s="2"/>
    </row>
    <row r="285" spans="31:33" x14ac:dyDescent="0.2">
      <c r="AE285" s="1"/>
      <c r="AF285" s="1"/>
      <c r="AG285" s="2"/>
    </row>
    <row r="286" spans="31:33" x14ac:dyDescent="0.2">
      <c r="AE286" s="1"/>
      <c r="AF286" s="1"/>
      <c r="AG286" s="2"/>
    </row>
    <row r="287" spans="31:33" x14ac:dyDescent="0.2">
      <c r="AE287" s="1"/>
      <c r="AF287" s="1"/>
      <c r="AG287" s="2"/>
    </row>
    <row r="288" spans="31:33" x14ac:dyDescent="0.2">
      <c r="AE288" s="1"/>
      <c r="AF288" s="1"/>
      <c r="AG288" s="2"/>
    </row>
    <row r="289" spans="31:33" x14ac:dyDescent="0.2">
      <c r="AE289" s="1"/>
      <c r="AF289" s="1"/>
      <c r="AG289" s="2"/>
    </row>
    <row r="290" spans="31:33" x14ac:dyDescent="0.2">
      <c r="AE290" s="1"/>
      <c r="AF290" s="1"/>
      <c r="AG290" s="2"/>
    </row>
    <row r="291" spans="31:33" x14ac:dyDescent="0.2">
      <c r="AE291" s="1"/>
      <c r="AF291" s="1"/>
      <c r="AG291" s="2"/>
    </row>
    <row r="292" spans="31:33" x14ac:dyDescent="0.2">
      <c r="AE292" s="1"/>
      <c r="AF292" s="1"/>
      <c r="AG292" s="2"/>
    </row>
    <row r="293" spans="31:33" x14ac:dyDescent="0.2">
      <c r="AE293" s="1"/>
      <c r="AF293" s="1"/>
      <c r="AG293" s="2"/>
    </row>
    <row r="294" spans="31:33" x14ac:dyDescent="0.2">
      <c r="AE294" s="1"/>
      <c r="AF294" s="1"/>
      <c r="AG294" s="2"/>
    </row>
    <row r="295" spans="31:33" x14ac:dyDescent="0.2">
      <c r="AE295" s="1"/>
      <c r="AF295" s="1"/>
      <c r="AG295" s="2"/>
    </row>
    <row r="296" spans="31:33" x14ac:dyDescent="0.2">
      <c r="AE296" s="1"/>
      <c r="AF296" s="1"/>
      <c r="AG296" s="2"/>
    </row>
    <row r="297" spans="31:33" x14ac:dyDescent="0.2">
      <c r="AE297" s="1"/>
      <c r="AF297" s="1"/>
      <c r="AG297" s="2"/>
    </row>
    <row r="298" spans="31:33" x14ac:dyDescent="0.2">
      <c r="AE298" s="1"/>
      <c r="AF298" s="1"/>
      <c r="AG298" s="2"/>
    </row>
    <row r="299" spans="31:33" x14ac:dyDescent="0.2">
      <c r="AE299" s="1"/>
      <c r="AF299" s="1"/>
      <c r="AG299" s="2"/>
    </row>
    <row r="300" spans="31:33" x14ac:dyDescent="0.2">
      <c r="AE300" s="1"/>
      <c r="AF300" s="1"/>
      <c r="AG300" s="2"/>
    </row>
    <row r="301" spans="31:33" x14ac:dyDescent="0.2">
      <c r="AE301" s="1"/>
      <c r="AF301" s="1"/>
      <c r="AG301" s="2"/>
    </row>
    <row r="302" spans="31:33" x14ac:dyDescent="0.2">
      <c r="AE302" s="1"/>
      <c r="AF302" s="1"/>
      <c r="AG302" s="2"/>
    </row>
    <row r="303" spans="31:33" x14ac:dyDescent="0.2">
      <c r="AE303" s="1"/>
      <c r="AF303" s="1"/>
      <c r="AG303" s="2"/>
    </row>
    <row r="304" spans="31:33" x14ac:dyDescent="0.2">
      <c r="AE304" s="1"/>
      <c r="AF304" s="1"/>
      <c r="AG304" s="2"/>
    </row>
    <row r="305" spans="31:33" x14ac:dyDescent="0.2">
      <c r="AE305" s="1"/>
      <c r="AF305" s="1"/>
      <c r="AG305" s="2"/>
    </row>
    <row r="306" spans="31:33" x14ac:dyDescent="0.2">
      <c r="AE306" s="1"/>
      <c r="AF306" s="1"/>
      <c r="AG306" s="2"/>
    </row>
    <row r="307" spans="31:33" x14ac:dyDescent="0.2">
      <c r="AE307" s="1"/>
      <c r="AF307" s="1"/>
      <c r="AG307" s="2"/>
    </row>
    <row r="308" spans="31:33" x14ac:dyDescent="0.2">
      <c r="AE308" s="1"/>
      <c r="AF308" s="1"/>
      <c r="AG308" s="2"/>
    </row>
    <row r="309" spans="31:33" x14ac:dyDescent="0.2">
      <c r="AE309" s="1"/>
      <c r="AF309" s="1"/>
      <c r="AG309" s="2"/>
    </row>
    <row r="310" spans="31:33" x14ac:dyDescent="0.2">
      <c r="AE310" s="1"/>
      <c r="AF310" s="1"/>
      <c r="AG310" s="2"/>
    </row>
    <row r="311" spans="31:33" x14ac:dyDescent="0.2">
      <c r="AE311" s="1"/>
      <c r="AF311" s="1"/>
      <c r="AG311" s="2"/>
    </row>
    <row r="312" spans="31:33" x14ac:dyDescent="0.2">
      <c r="AE312" s="1"/>
      <c r="AF312" s="1"/>
      <c r="AG312" s="2"/>
    </row>
    <row r="313" spans="31:33" x14ac:dyDescent="0.2">
      <c r="AE313" s="1"/>
      <c r="AF313" s="1"/>
      <c r="AG313" s="2"/>
    </row>
    <row r="314" spans="31:33" x14ac:dyDescent="0.2">
      <c r="AE314" s="1"/>
      <c r="AF314" s="1"/>
      <c r="AG314" s="2"/>
    </row>
    <row r="315" spans="31:33" x14ac:dyDescent="0.2">
      <c r="AE315" s="1"/>
      <c r="AF315" s="1"/>
      <c r="AG315" s="2"/>
    </row>
    <row r="316" spans="31:33" x14ac:dyDescent="0.2">
      <c r="AE316" s="1"/>
      <c r="AF316" s="1"/>
      <c r="AG316" s="2"/>
    </row>
    <row r="317" spans="31:33" x14ac:dyDescent="0.2">
      <c r="AE317" s="1"/>
      <c r="AF317" s="1"/>
      <c r="AG317" s="2"/>
    </row>
    <row r="318" spans="31:33" x14ac:dyDescent="0.2">
      <c r="AE318" s="1"/>
      <c r="AF318" s="1"/>
      <c r="AG318" s="2"/>
    </row>
    <row r="319" spans="31:33" x14ac:dyDescent="0.2">
      <c r="AE319" s="1"/>
      <c r="AF319" s="1"/>
      <c r="AG319" s="2"/>
    </row>
    <row r="320" spans="31:33" x14ac:dyDescent="0.2">
      <c r="AE320" s="1"/>
      <c r="AF320" s="1"/>
      <c r="AG320" s="2"/>
    </row>
    <row r="321" spans="31:33" x14ac:dyDescent="0.2">
      <c r="AE321" s="1"/>
      <c r="AF321" s="1"/>
      <c r="AG321" s="2"/>
    </row>
    <row r="322" spans="31:33" x14ac:dyDescent="0.2">
      <c r="AE322" s="1"/>
      <c r="AF322" s="1"/>
      <c r="AG322" s="2"/>
    </row>
    <row r="323" spans="31:33" x14ac:dyDescent="0.2">
      <c r="AE323" s="1"/>
      <c r="AF323" s="1"/>
      <c r="AG323" s="2"/>
    </row>
    <row r="324" spans="31:33" x14ac:dyDescent="0.2">
      <c r="AE324" s="1"/>
      <c r="AF324" s="1"/>
      <c r="AG324" s="2"/>
    </row>
    <row r="325" spans="31:33" x14ac:dyDescent="0.2">
      <c r="AE325" s="1"/>
      <c r="AF325" s="1"/>
      <c r="AG325" s="2"/>
    </row>
    <row r="326" spans="31:33" x14ac:dyDescent="0.2">
      <c r="AE326" s="1"/>
      <c r="AF326" s="1"/>
      <c r="AG326" s="2"/>
    </row>
    <row r="327" spans="31:33" x14ac:dyDescent="0.2">
      <c r="AE327" s="1"/>
      <c r="AF327" s="1"/>
      <c r="AG327" s="2"/>
    </row>
    <row r="328" spans="31:33" x14ac:dyDescent="0.2">
      <c r="AE328" s="1"/>
      <c r="AF328" s="1"/>
      <c r="AG328" s="2"/>
    </row>
    <row r="329" spans="31:33" x14ac:dyDescent="0.2">
      <c r="AE329" s="1"/>
      <c r="AF329" s="1"/>
      <c r="AG329" s="2"/>
    </row>
    <row r="330" spans="31:33" x14ac:dyDescent="0.2">
      <c r="AE330" s="1"/>
      <c r="AF330" s="1"/>
      <c r="AG330" s="2"/>
    </row>
    <row r="331" spans="31:33" x14ac:dyDescent="0.2">
      <c r="AE331" s="1"/>
      <c r="AF331" s="1"/>
      <c r="AG331" s="2"/>
    </row>
    <row r="332" spans="31:33" x14ac:dyDescent="0.2">
      <c r="AE332" s="1"/>
      <c r="AF332" s="1"/>
      <c r="AG332" s="2"/>
    </row>
    <row r="333" spans="31:33" x14ac:dyDescent="0.2">
      <c r="AE333" s="1"/>
      <c r="AF333" s="1"/>
      <c r="AG333" s="2"/>
    </row>
    <row r="334" spans="31:33" x14ac:dyDescent="0.2">
      <c r="AE334" s="1"/>
      <c r="AF334" s="1"/>
      <c r="AG334" s="2"/>
    </row>
    <row r="335" spans="31:33" x14ac:dyDescent="0.2">
      <c r="AE335" s="1"/>
      <c r="AF335" s="1"/>
      <c r="AG335" s="2"/>
    </row>
    <row r="336" spans="31:33" x14ac:dyDescent="0.2">
      <c r="AE336" s="1"/>
      <c r="AF336" s="1"/>
      <c r="AG336" s="2"/>
    </row>
    <row r="337" spans="31:33" x14ac:dyDescent="0.2">
      <c r="AE337" s="1"/>
      <c r="AF337" s="1"/>
      <c r="AG337" s="2"/>
    </row>
    <row r="338" spans="31:33" x14ac:dyDescent="0.2">
      <c r="AE338" s="1"/>
      <c r="AF338" s="1"/>
      <c r="AG338" s="2"/>
    </row>
    <row r="339" spans="31:33" x14ac:dyDescent="0.2">
      <c r="AE339" s="1"/>
      <c r="AF339" s="1"/>
      <c r="AG339" s="2"/>
    </row>
    <row r="340" spans="31:33" x14ac:dyDescent="0.2">
      <c r="AE340" s="1"/>
      <c r="AF340" s="1"/>
      <c r="AG340" s="2"/>
    </row>
    <row r="341" spans="31:33" x14ac:dyDescent="0.2">
      <c r="AE341" s="1"/>
      <c r="AF341" s="1"/>
      <c r="AG341" s="2"/>
    </row>
    <row r="342" spans="31:33" x14ac:dyDescent="0.2">
      <c r="AE342" s="1"/>
      <c r="AF342" s="1"/>
      <c r="AG342" s="2"/>
    </row>
    <row r="343" spans="31:33" x14ac:dyDescent="0.2">
      <c r="AE343" s="1"/>
      <c r="AF343" s="1"/>
      <c r="AG343" s="2"/>
    </row>
    <row r="344" spans="31:33" x14ac:dyDescent="0.2">
      <c r="AE344" s="1"/>
      <c r="AF344" s="1"/>
      <c r="AG344" s="2"/>
    </row>
    <row r="345" spans="31:33" x14ac:dyDescent="0.2">
      <c r="AE345" s="1"/>
      <c r="AF345" s="1"/>
      <c r="AG345" s="2"/>
    </row>
    <row r="346" spans="31:33" x14ac:dyDescent="0.2">
      <c r="AE346" s="1"/>
      <c r="AF346" s="1"/>
      <c r="AG346" s="2"/>
    </row>
    <row r="347" spans="31:33" x14ac:dyDescent="0.2">
      <c r="AE347" s="1"/>
      <c r="AF347" s="1"/>
      <c r="AG347" s="2"/>
    </row>
    <row r="348" spans="31:33" x14ac:dyDescent="0.2">
      <c r="AE348" s="1"/>
      <c r="AF348" s="1"/>
      <c r="AG348" s="2"/>
    </row>
    <row r="349" spans="31:33" x14ac:dyDescent="0.2">
      <c r="AE349" s="1"/>
      <c r="AF349" s="1"/>
      <c r="AG349" s="2"/>
    </row>
    <row r="350" spans="31:33" x14ac:dyDescent="0.2">
      <c r="AE350" s="1"/>
      <c r="AF350" s="1"/>
      <c r="AG350" s="2"/>
    </row>
    <row r="351" spans="31:33" x14ac:dyDescent="0.2">
      <c r="AE351" s="1"/>
      <c r="AF351" s="1"/>
      <c r="AG351" s="2"/>
    </row>
    <row r="352" spans="31:33" x14ac:dyDescent="0.2">
      <c r="AE352" s="1"/>
      <c r="AF352" s="1"/>
      <c r="AG352" s="2"/>
    </row>
    <row r="353" spans="31:33" x14ac:dyDescent="0.2">
      <c r="AE353" s="1"/>
      <c r="AF353" s="1"/>
      <c r="AG353" s="2"/>
    </row>
    <row r="354" spans="31:33" x14ac:dyDescent="0.2">
      <c r="AE354" s="1"/>
      <c r="AF354" s="1"/>
      <c r="AG354" s="2"/>
    </row>
    <row r="355" spans="31:33" x14ac:dyDescent="0.2">
      <c r="AE355" s="1"/>
      <c r="AF355" s="1"/>
      <c r="AG355" s="2"/>
    </row>
    <row r="356" spans="31:33" x14ac:dyDescent="0.2">
      <c r="AE356" s="1"/>
      <c r="AF356" s="1"/>
      <c r="AG356" s="2"/>
    </row>
    <row r="357" spans="31:33" x14ac:dyDescent="0.2">
      <c r="AE357" s="1"/>
      <c r="AF357" s="1"/>
      <c r="AG357" s="2"/>
    </row>
    <row r="358" spans="31:33" x14ac:dyDescent="0.2">
      <c r="AE358" s="1"/>
      <c r="AF358" s="1"/>
      <c r="AG358" s="2"/>
    </row>
    <row r="359" spans="31:33" x14ac:dyDescent="0.2">
      <c r="AE359" s="1"/>
      <c r="AF359" s="1"/>
      <c r="AG359" s="2"/>
    </row>
    <row r="360" spans="31:33" x14ac:dyDescent="0.2">
      <c r="AE360" s="1"/>
      <c r="AF360" s="1"/>
      <c r="AG360" s="2"/>
    </row>
    <row r="361" spans="31:33" x14ac:dyDescent="0.2">
      <c r="AE361" s="1"/>
      <c r="AF361" s="1"/>
      <c r="AG361" s="2"/>
    </row>
    <row r="362" spans="31:33" x14ac:dyDescent="0.2">
      <c r="AE362" s="1"/>
      <c r="AF362" s="1"/>
      <c r="AG362" s="2"/>
    </row>
    <row r="363" spans="31:33" x14ac:dyDescent="0.2">
      <c r="AE363" s="1"/>
      <c r="AF363" s="1"/>
      <c r="AG363" s="2"/>
    </row>
    <row r="364" spans="31:33" x14ac:dyDescent="0.2">
      <c r="AE364" s="1"/>
      <c r="AF364" s="1"/>
      <c r="AG364" s="2"/>
    </row>
    <row r="365" spans="31:33" x14ac:dyDescent="0.2">
      <c r="AE365" s="1"/>
      <c r="AF365" s="1"/>
      <c r="AG365" s="2"/>
    </row>
    <row r="366" spans="31:33" x14ac:dyDescent="0.2">
      <c r="AE366" s="1"/>
      <c r="AF366" s="1"/>
      <c r="AG366" s="2"/>
    </row>
    <row r="367" spans="31:33" x14ac:dyDescent="0.2">
      <c r="AE367" s="1"/>
      <c r="AF367" s="1"/>
      <c r="AG367" s="2"/>
    </row>
    <row r="368" spans="31:33" x14ac:dyDescent="0.2">
      <c r="AE368" s="1"/>
      <c r="AF368" s="1"/>
      <c r="AG368" s="2"/>
    </row>
    <row r="369" spans="31:33" x14ac:dyDescent="0.2">
      <c r="AE369" s="1"/>
      <c r="AF369" s="1"/>
      <c r="AG369" s="2"/>
    </row>
    <row r="370" spans="31:33" x14ac:dyDescent="0.2">
      <c r="AE370" s="1"/>
      <c r="AF370" s="1"/>
      <c r="AG370" s="2"/>
    </row>
    <row r="371" spans="31:33" x14ac:dyDescent="0.2">
      <c r="AE371" s="1"/>
      <c r="AF371" s="1"/>
      <c r="AG371" s="2"/>
    </row>
    <row r="372" spans="31:33" x14ac:dyDescent="0.2">
      <c r="AE372" s="1"/>
      <c r="AF372" s="1"/>
      <c r="AG372" s="2"/>
    </row>
    <row r="373" spans="31:33" x14ac:dyDescent="0.2">
      <c r="AE373" s="1"/>
      <c r="AF373" s="1"/>
      <c r="AG373" s="2"/>
    </row>
    <row r="374" spans="31:33" x14ac:dyDescent="0.2">
      <c r="AE374" s="1"/>
      <c r="AF374" s="1"/>
      <c r="AG374" s="2"/>
    </row>
    <row r="375" spans="31:33" x14ac:dyDescent="0.2">
      <c r="AE375" s="1"/>
      <c r="AF375" s="1"/>
      <c r="AG375" s="2"/>
    </row>
    <row r="376" spans="31:33" x14ac:dyDescent="0.2">
      <c r="AE376" s="1"/>
      <c r="AF376" s="1"/>
      <c r="AG376" s="2"/>
    </row>
    <row r="377" spans="31:33" x14ac:dyDescent="0.2">
      <c r="AE377" s="1"/>
      <c r="AF377" s="1"/>
      <c r="AG377" s="2"/>
    </row>
    <row r="378" spans="31:33" x14ac:dyDescent="0.2">
      <c r="AE378" s="1"/>
      <c r="AF378" s="1"/>
      <c r="AG378" s="2"/>
    </row>
    <row r="379" spans="31:33" x14ac:dyDescent="0.2">
      <c r="AE379" s="1"/>
      <c r="AF379" s="1"/>
      <c r="AG379" s="2"/>
    </row>
    <row r="380" spans="31:33" x14ac:dyDescent="0.2">
      <c r="AE380" s="1"/>
      <c r="AF380" s="1"/>
      <c r="AG380" s="2"/>
    </row>
    <row r="381" spans="31:33" x14ac:dyDescent="0.2">
      <c r="AE381" s="1"/>
      <c r="AF381" s="1"/>
      <c r="AG381" s="2"/>
    </row>
    <row r="382" spans="31:33" x14ac:dyDescent="0.2">
      <c r="AE382" s="1"/>
      <c r="AF382" s="1"/>
      <c r="AG382" s="2"/>
    </row>
    <row r="383" spans="31:33" x14ac:dyDescent="0.2">
      <c r="AE383" s="1"/>
      <c r="AF383" s="1"/>
      <c r="AG383" s="2"/>
    </row>
    <row r="384" spans="31:33" x14ac:dyDescent="0.2">
      <c r="AE384" s="1"/>
      <c r="AF384" s="1"/>
      <c r="AG384" s="2"/>
    </row>
    <row r="385" spans="31:33" x14ac:dyDescent="0.2">
      <c r="AE385" s="1"/>
      <c r="AF385" s="1"/>
      <c r="AG385" s="2"/>
    </row>
    <row r="386" spans="31:33" x14ac:dyDescent="0.2">
      <c r="AE386" s="1"/>
      <c r="AF386" s="1"/>
      <c r="AG386" s="2"/>
    </row>
    <row r="387" spans="31:33" x14ac:dyDescent="0.2">
      <c r="AE387" s="1"/>
      <c r="AF387" s="1"/>
      <c r="AG387" s="2"/>
    </row>
    <row r="388" spans="31:33" x14ac:dyDescent="0.2">
      <c r="AE388" s="1"/>
      <c r="AF388" s="1"/>
      <c r="AG388" s="2"/>
    </row>
    <row r="389" spans="31:33" x14ac:dyDescent="0.2">
      <c r="AE389" s="1"/>
      <c r="AF389" s="1"/>
      <c r="AG389" s="2"/>
    </row>
    <row r="390" spans="31:33" x14ac:dyDescent="0.2">
      <c r="AE390" s="1"/>
      <c r="AF390" s="1"/>
      <c r="AG390" s="2"/>
    </row>
    <row r="391" spans="31:33" x14ac:dyDescent="0.2">
      <c r="AE391" s="1"/>
      <c r="AF391" s="1"/>
      <c r="AG391" s="2"/>
    </row>
    <row r="392" spans="31:33" x14ac:dyDescent="0.2">
      <c r="AE392" s="1"/>
      <c r="AF392" s="1"/>
      <c r="AG392" s="2"/>
    </row>
    <row r="393" spans="31:33" x14ac:dyDescent="0.2">
      <c r="AE393" s="1"/>
      <c r="AF393" s="1"/>
      <c r="AG393" s="2"/>
    </row>
    <row r="394" spans="31:33" x14ac:dyDescent="0.2">
      <c r="AE394" s="1"/>
      <c r="AF394" s="1"/>
      <c r="AG394" s="2"/>
    </row>
    <row r="395" spans="31:33" x14ac:dyDescent="0.2">
      <c r="AE395" s="1"/>
      <c r="AF395" s="1"/>
      <c r="AG395" s="2"/>
    </row>
    <row r="396" spans="31:33" x14ac:dyDescent="0.2">
      <c r="AE396" s="1"/>
      <c r="AF396" s="1"/>
      <c r="AG396" s="2"/>
    </row>
    <row r="397" spans="31:33" x14ac:dyDescent="0.2">
      <c r="AE397" s="1"/>
      <c r="AF397" s="1"/>
      <c r="AG397" s="2"/>
    </row>
    <row r="398" spans="31:33" x14ac:dyDescent="0.2">
      <c r="AE398" s="1"/>
      <c r="AF398" s="1"/>
      <c r="AG398" s="2"/>
    </row>
    <row r="399" spans="31:33" x14ac:dyDescent="0.2">
      <c r="AE399" s="1"/>
      <c r="AF399" s="1"/>
      <c r="AG399" s="2"/>
    </row>
    <row r="400" spans="31:33" x14ac:dyDescent="0.2">
      <c r="AE400" s="1"/>
      <c r="AF400" s="1"/>
      <c r="AG400" s="2"/>
    </row>
    <row r="401" spans="31:33" x14ac:dyDescent="0.2">
      <c r="AE401" s="1"/>
      <c r="AF401" s="1"/>
      <c r="AG401" s="2"/>
    </row>
    <row r="402" spans="31:33" x14ac:dyDescent="0.2">
      <c r="AE402" s="1"/>
      <c r="AF402" s="1"/>
      <c r="AG402" s="2"/>
    </row>
    <row r="403" spans="31:33" x14ac:dyDescent="0.2">
      <c r="AE403" s="1"/>
      <c r="AF403" s="1"/>
      <c r="AG403" s="2"/>
    </row>
    <row r="404" spans="31:33" x14ac:dyDescent="0.2">
      <c r="AE404" s="1"/>
      <c r="AF404" s="1"/>
      <c r="AG404" s="2"/>
    </row>
    <row r="405" spans="31:33" x14ac:dyDescent="0.2">
      <c r="AE405" s="1"/>
      <c r="AF405" s="1"/>
      <c r="AG405" s="2"/>
    </row>
    <row r="406" spans="31:33" x14ac:dyDescent="0.2">
      <c r="AE406" s="1"/>
      <c r="AF406" s="1"/>
      <c r="AG406" s="2"/>
    </row>
    <row r="407" spans="31:33" x14ac:dyDescent="0.2">
      <c r="AE407" s="1"/>
      <c r="AF407" s="1"/>
      <c r="AG407" s="2"/>
    </row>
    <row r="408" spans="31:33" x14ac:dyDescent="0.2">
      <c r="AE408" s="1"/>
      <c r="AF408" s="1"/>
      <c r="AG408" s="2"/>
    </row>
    <row r="409" spans="31:33" x14ac:dyDescent="0.2">
      <c r="AE409" s="1"/>
      <c r="AF409" s="1"/>
      <c r="AG409" s="2"/>
    </row>
    <row r="410" spans="31:33" x14ac:dyDescent="0.2">
      <c r="AE410" s="1"/>
      <c r="AF410" s="1"/>
      <c r="AG410" s="2"/>
    </row>
    <row r="411" spans="31:33" x14ac:dyDescent="0.2">
      <c r="AE411" s="1"/>
      <c r="AF411" s="1"/>
      <c r="AG411" s="2"/>
    </row>
    <row r="412" spans="31:33" x14ac:dyDescent="0.2">
      <c r="AE412" s="1"/>
      <c r="AF412" s="1"/>
      <c r="AG412" s="2"/>
    </row>
    <row r="413" spans="31:33" x14ac:dyDescent="0.2">
      <c r="AE413" s="1"/>
      <c r="AF413" s="1"/>
      <c r="AG413" s="2"/>
    </row>
    <row r="414" spans="31:33" x14ac:dyDescent="0.2">
      <c r="AE414" s="1"/>
      <c r="AF414" s="1"/>
      <c r="AG414" s="2"/>
    </row>
    <row r="415" spans="31:33" x14ac:dyDescent="0.2">
      <c r="AE415" s="1"/>
      <c r="AF415" s="1"/>
      <c r="AG415" s="2"/>
    </row>
    <row r="416" spans="31:33" x14ac:dyDescent="0.2">
      <c r="AE416" s="1"/>
      <c r="AF416" s="1"/>
      <c r="AG416" s="2"/>
    </row>
    <row r="417" spans="31:33" x14ac:dyDescent="0.2">
      <c r="AE417" s="1"/>
      <c r="AF417" s="1"/>
      <c r="AG417" s="2"/>
    </row>
    <row r="418" spans="31:33" x14ac:dyDescent="0.2">
      <c r="AE418" s="1"/>
      <c r="AF418" s="1"/>
      <c r="AG418" s="2"/>
    </row>
    <row r="419" spans="31:33" x14ac:dyDescent="0.2">
      <c r="AE419" s="1"/>
      <c r="AF419" s="1"/>
      <c r="AG419" s="2"/>
    </row>
    <row r="420" spans="31:33" x14ac:dyDescent="0.2">
      <c r="AE420" s="1"/>
      <c r="AF420" s="1"/>
      <c r="AG420" s="2"/>
    </row>
    <row r="421" spans="31:33" x14ac:dyDescent="0.2">
      <c r="AE421" s="1"/>
      <c r="AF421" s="1"/>
      <c r="AG421" s="2"/>
    </row>
    <row r="422" spans="31:33" x14ac:dyDescent="0.2">
      <c r="AE422" s="1"/>
      <c r="AF422" s="1"/>
      <c r="AG422" s="2"/>
    </row>
    <row r="423" spans="31:33" x14ac:dyDescent="0.2">
      <c r="AE423" s="1"/>
      <c r="AF423" s="1"/>
      <c r="AG423" s="2"/>
    </row>
    <row r="424" spans="31:33" x14ac:dyDescent="0.2">
      <c r="AE424" s="1"/>
      <c r="AF424" s="1"/>
      <c r="AG424" s="2"/>
    </row>
    <row r="425" spans="31:33" x14ac:dyDescent="0.2">
      <c r="AE425" s="1"/>
      <c r="AF425" s="1"/>
      <c r="AG425" s="2"/>
    </row>
    <row r="426" spans="31:33" x14ac:dyDescent="0.2">
      <c r="AE426" s="1"/>
      <c r="AF426" s="1"/>
      <c r="AG426" s="2"/>
    </row>
    <row r="427" spans="31:33" x14ac:dyDescent="0.2">
      <c r="AE427" s="1"/>
      <c r="AF427" s="1"/>
      <c r="AG427" s="2"/>
    </row>
    <row r="428" spans="31:33" x14ac:dyDescent="0.2">
      <c r="AE428" s="1"/>
      <c r="AF428" s="1"/>
      <c r="AG428" s="2"/>
    </row>
    <row r="429" spans="31:33" x14ac:dyDescent="0.2">
      <c r="AE429" s="1"/>
      <c r="AF429" s="1"/>
      <c r="AG429" s="2"/>
    </row>
    <row r="430" spans="31:33" x14ac:dyDescent="0.2">
      <c r="AE430" s="1"/>
      <c r="AF430" s="1"/>
      <c r="AG430" s="2"/>
    </row>
    <row r="431" spans="31:33" x14ac:dyDescent="0.2">
      <c r="AE431" s="1"/>
      <c r="AF431" s="1"/>
      <c r="AG431" s="2"/>
    </row>
    <row r="432" spans="31:33" x14ac:dyDescent="0.2">
      <c r="AE432" s="1"/>
      <c r="AF432" s="1"/>
      <c r="AG432" s="2"/>
    </row>
    <row r="433" spans="31:33" x14ac:dyDescent="0.2">
      <c r="AE433" s="1"/>
      <c r="AF433" s="1"/>
      <c r="AG433" s="2"/>
    </row>
    <row r="434" spans="31:33" x14ac:dyDescent="0.2">
      <c r="AE434" s="1"/>
      <c r="AF434" s="1"/>
      <c r="AG434" s="2"/>
    </row>
    <row r="435" spans="31:33" x14ac:dyDescent="0.2">
      <c r="AE435" s="1"/>
      <c r="AF435" s="1"/>
      <c r="AG435" s="2"/>
    </row>
    <row r="436" spans="31:33" x14ac:dyDescent="0.2">
      <c r="AE436" s="1"/>
      <c r="AF436" s="1"/>
      <c r="AG436" s="2"/>
    </row>
    <row r="437" spans="31:33" x14ac:dyDescent="0.2">
      <c r="AE437" s="1"/>
      <c r="AF437" s="1"/>
      <c r="AG437" s="2"/>
    </row>
    <row r="438" spans="31:33" x14ac:dyDescent="0.2">
      <c r="AE438" s="1"/>
      <c r="AF438" s="1"/>
      <c r="AG438" s="2"/>
    </row>
    <row r="439" spans="31:33" x14ac:dyDescent="0.2">
      <c r="AE439" s="1"/>
      <c r="AF439" s="1"/>
      <c r="AG439" s="2"/>
    </row>
    <row r="440" spans="31:33" x14ac:dyDescent="0.2">
      <c r="AE440" s="1"/>
      <c r="AF440" s="1"/>
      <c r="AG440" s="2"/>
    </row>
    <row r="441" spans="31:33" x14ac:dyDescent="0.2">
      <c r="AE441" s="1"/>
      <c r="AF441" s="1"/>
      <c r="AG441" s="2"/>
    </row>
    <row r="442" spans="31:33" x14ac:dyDescent="0.2">
      <c r="AE442" s="1"/>
      <c r="AF442" s="1"/>
      <c r="AG442" s="2"/>
    </row>
    <row r="443" spans="31:33" x14ac:dyDescent="0.2">
      <c r="AE443" s="1"/>
      <c r="AF443" s="1"/>
      <c r="AG443" s="2"/>
    </row>
    <row r="444" spans="31:33" x14ac:dyDescent="0.2">
      <c r="AE444" s="1"/>
      <c r="AF444" s="1"/>
      <c r="AG444" s="2"/>
    </row>
    <row r="445" spans="31:33" x14ac:dyDescent="0.2">
      <c r="AE445" s="1"/>
      <c r="AF445" s="1"/>
      <c r="AG445" s="2"/>
    </row>
    <row r="446" spans="31:33" x14ac:dyDescent="0.2">
      <c r="AE446" s="1"/>
      <c r="AF446" s="1"/>
      <c r="AG446" s="2"/>
    </row>
    <row r="447" spans="31:33" x14ac:dyDescent="0.2">
      <c r="AE447" s="1"/>
      <c r="AF447" s="1"/>
      <c r="AG447" s="2"/>
    </row>
    <row r="448" spans="31:33" x14ac:dyDescent="0.2">
      <c r="AE448" s="1"/>
      <c r="AF448" s="1"/>
      <c r="AG448" s="2"/>
    </row>
    <row r="449" spans="31:33" x14ac:dyDescent="0.2">
      <c r="AE449" s="1"/>
      <c r="AF449" s="1"/>
      <c r="AG449" s="2"/>
    </row>
    <row r="450" spans="31:33" x14ac:dyDescent="0.2">
      <c r="AE450" s="1"/>
      <c r="AF450" s="1"/>
      <c r="AG450" s="2"/>
    </row>
    <row r="451" spans="31:33" x14ac:dyDescent="0.2">
      <c r="AE451" s="1"/>
      <c r="AF451" s="1"/>
      <c r="AG451" s="2"/>
    </row>
    <row r="452" spans="31:33" x14ac:dyDescent="0.2">
      <c r="AE452" s="1"/>
      <c r="AF452" s="1"/>
      <c r="AG452" s="2"/>
    </row>
    <row r="453" spans="31:33" x14ac:dyDescent="0.2">
      <c r="AE453" s="1"/>
      <c r="AF453" s="1"/>
      <c r="AG453" s="2"/>
    </row>
    <row r="454" spans="31:33" x14ac:dyDescent="0.2">
      <c r="AE454" s="1"/>
      <c r="AF454" s="1"/>
      <c r="AG454" s="2"/>
    </row>
    <row r="455" spans="31:33" x14ac:dyDescent="0.2">
      <c r="AE455" s="1"/>
      <c r="AF455" s="1"/>
      <c r="AG455" s="2"/>
    </row>
    <row r="456" spans="31:33" x14ac:dyDescent="0.2">
      <c r="AE456" s="1"/>
      <c r="AF456" s="1"/>
      <c r="AG456" s="2"/>
    </row>
    <row r="457" spans="31:33" x14ac:dyDescent="0.2">
      <c r="AE457" s="1"/>
      <c r="AF457" s="1"/>
      <c r="AG457" s="2"/>
    </row>
    <row r="458" spans="31:33" x14ac:dyDescent="0.2">
      <c r="AE458" s="1"/>
      <c r="AF458" s="1"/>
      <c r="AG458" s="2"/>
    </row>
    <row r="459" spans="31:33" x14ac:dyDescent="0.2">
      <c r="AE459" s="1"/>
      <c r="AF459" s="1"/>
      <c r="AG459" s="2"/>
    </row>
    <row r="460" spans="31:33" x14ac:dyDescent="0.2">
      <c r="AE460" s="1"/>
      <c r="AF460" s="1"/>
      <c r="AG460" s="2"/>
    </row>
    <row r="461" spans="31:33" x14ac:dyDescent="0.2">
      <c r="AE461" s="1"/>
      <c r="AF461" s="1"/>
      <c r="AG461" s="2"/>
    </row>
    <row r="462" spans="31:33" x14ac:dyDescent="0.2">
      <c r="AE462" s="1"/>
      <c r="AF462" s="1"/>
      <c r="AG462" s="2"/>
    </row>
    <row r="463" spans="31:33" x14ac:dyDescent="0.2">
      <c r="AE463" s="1"/>
      <c r="AF463" s="1"/>
      <c r="AG463" s="2"/>
    </row>
    <row r="464" spans="31:33" x14ac:dyDescent="0.2">
      <c r="AE464" s="1"/>
      <c r="AF464" s="1"/>
      <c r="AG464" s="2"/>
    </row>
    <row r="465" spans="31:33" x14ac:dyDescent="0.2">
      <c r="AE465" s="1"/>
      <c r="AF465" s="1"/>
      <c r="AG465" s="2"/>
    </row>
    <row r="466" spans="31:33" x14ac:dyDescent="0.2">
      <c r="AE466" s="1"/>
      <c r="AF466" s="1"/>
      <c r="AG466" s="2"/>
    </row>
    <row r="467" spans="31:33" x14ac:dyDescent="0.2">
      <c r="AE467" s="1"/>
      <c r="AF467" s="1"/>
      <c r="AG467" s="2"/>
    </row>
    <row r="468" spans="31:33" x14ac:dyDescent="0.2">
      <c r="AE468" s="1"/>
      <c r="AF468" s="1"/>
      <c r="AG468" s="2"/>
    </row>
    <row r="469" spans="31:33" x14ac:dyDescent="0.2">
      <c r="AE469" s="1"/>
      <c r="AF469" s="1"/>
      <c r="AG469" s="2"/>
    </row>
    <row r="470" spans="31:33" x14ac:dyDescent="0.2">
      <c r="AE470" s="1"/>
      <c r="AF470" s="1"/>
      <c r="AG470" s="2"/>
    </row>
    <row r="471" spans="31:33" x14ac:dyDescent="0.2">
      <c r="AE471" s="1"/>
      <c r="AF471" s="1"/>
      <c r="AG471" s="2"/>
    </row>
    <row r="472" spans="31:33" x14ac:dyDescent="0.2">
      <c r="AE472" s="1"/>
      <c r="AF472" s="1"/>
      <c r="AG472" s="2"/>
    </row>
    <row r="473" spans="31:33" x14ac:dyDescent="0.2">
      <c r="AE473" s="1"/>
      <c r="AF473" s="1"/>
      <c r="AG473" s="2"/>
    </row>
    <row r="474" spans="31:33" x14ac:dyDescent="0.2">
      <c r="AE474" s="1"/>
      <c r="AF474" s="1"/>
      <c r="AG474" s="2"/>
    </row>
    <row r="475" spans="31:33" x14ac:dyDescent="0.2">
      <c r="AE475" s="1"/>
      <c r="AF475" s="1"/>
      <c r="AG475" s="2"/>
    </row>
    <row r="476" spans="31:33" x14ac:dyDescent="0.2">
      <c r="AE476" s="1"/>
      <c r="AF476" s="1"/>
      <c r="AG476" s="2"/>
    </row>
    <row r="477" spans="31:33" x14ac:dyDescent="0.2">
      <c r="AE477" s="1"/>
      <c r="AF477" s="1"/>
      <c r="AG477" s="2"/>
    </row>
    <row r="478" spans="31:33" x14ac:dyDescent="0.2">
      <c r="AE478" s="1"/>
      <c r="AF478" s="1"/>
      <c r="AG478" s="2"/>
    </row>
    <row r="479" spans="31:33" x14ac:dyDescent="0.2">
      <c r="AE479" s="1"/>
      <c r="AF479" s="1"/>
      <c r="AG479" s="2"/>
    </row>
    <row r="480" spans="31:33" x14ac:dyDescent="0.2">
      <c r="AE480" s="1"/>
      <c r="AF480" s="1"/>
      <c r="AG480" s="2"/>
    </row>
    <row r="481" spans="31:33" x14ac:dyDescent="0.2">
      <c r="AE481" s="1"/>
      <c r="AF481" s="1"/>
      <c r="AG481" s="2"/>
    </row>
    <row r="482" spans="31:33" x14ac:dyDescent="0.2">
      <c r="AE482" s="1"/>
      <c r="AF482" s="1"/>
      <c r="AG482" s="2"/>
    </row>
    <row r="483" spans="31:33" x14ac:dyDescent="0.2">
      <c r="AE483" s="1"/>
      <c r="AF483" s="1"/>
      <c r="AG483" s="2"/>
    </row>
    <row r="484" spans="31:33" x14ac:dyDescent="0.2">
      <c r="AE484" s="1"/>
      <c r="AF484" s="1"/>
      <c r="AG484" s="2"/>
    </row>
    <row r="485" spans="31:33" x14ac:dyDescent="0.2">
      <c r="AE485" s="1"/>
      <c r="AF485" s="1"/>
      <c r="AG485" s="2"/>
    </row>
    <row r="486" spans="31:33" x14ac:dyDescent="0.2">
      <c r="AE486" s="1"/>
      <c r="AF486" s="1"/>
      <c r="AG486" s="2"/>
    </row>
    <row r="487" spans="31:33" x14ac:dyDescent="0.2">
      <c r="AE487" s="1"/>
      <c r="AF487" s="1"/>
      <c r="AG487" s="2"/>
    </row>
    <row r="488" spans="31:33" x14ac:dyDescent="0.2">
      <c r="AE488" s="1"/>
      <c r="AF488" s="1"/>
      <c r="AG488" s="2"/>
    </row>
    <row r="489" spans="31:33" x14ac:dyDescent="0.2">
      <c r="AE489" s="1"/>
      <c r="AF489" s="1"/>
      <c r="AG489" s="2"/>
    </row>
    <row r="490" spans="31:33" x14ac:dyDescent="0.2">
      <c r="AE490" s="1"/>
      <c r="AF490" s="1"/>
      <c r="AG490" s="2"/>
    </row>
    <row r="491" spans="31:33" x14ac:dyDescent="0.2">
      <c r="AE491" s="1"/>
      <c r="AF491" s="1"/>
      <c r="AG491" s="2"/>
    </row>
    <row r="492" spans="31:33" x14ac:dyDescent="0.2">
      <c r="AE492" s="1"/>
      <c r="AF492" s="1"/>
      <c r="AG492" s="2"/>
    </row>
    <row r="493" spans="31:33" x14ac:dyDescent="0.2">
      <c r="AE493" s="1"/>
      <c r="AF493" s="1"/>
      <c r="AG493" s="2"/>
    </row>
    <row r="494" spans="31:33" x14ac:dyDescent="0.2">
      <c r="AE494" s="1"/>
      <c r="AF494" s="1"/>
      <c r="AG494" s="2"/>
    </row>
    <row r="495" spans="31:33" x14ac:dyDescent="0.2">
      <c r="AE495" s="1"/>
      <c r="AF495" s="1"/>
      <c r="AG495" s="2"/>
    </row>
    <row r="496" spans="31:33" x14ac:dyDescent="0.2">
      <c r="AE496" s="1"/>
      <c r="AF496" s="1"/>
      <c r="AG496" s="2"/>
    </row>
    <row r="497" spans="31:33" x14ac:dyDescent="0.2">
      <c r="AE497" s="1"/>
      <c r="AF497" s="1"/>
      <c r="AG497" s="2"/>
    </row>
    <row r="498" spans="31:33" x14ac:dyDescent="0.2">
      <c r="AE498" s="1"/>
      <c r="AF498" s="1"/>
      <c r="AG498" s="2"/>
    </row>
    <row r="499" spans="31:33" x14ac:dyDescent="0.2">
      <c r="AE499" s="1"/>
      <c r="AF499" s="1"/>
      <c r="AG499" s="2"/>
    </row>
    <row r="500" spans="31:33" x14ac:dyDescent="0.2">
      <c r="AE500" s="1"/>
      <c r="AF500" s="1"/>
      <c r="AG500" s="2"/>
    </row>
    <row r="501" spans="31:33" x14ac:dyDescent="0.2">
      <c r="AE501" s="1"/>
      <c r="AF501" s="1"/>
      <c r="AG501" s="2"/>
    </row>
    <row r="502" spans="31:33" x14ac:dyDescent="0.2">
      <c r="AE502" s="1"/>
      <c r="AF502" s="1"/>
      <c r="AG502" s="2"/>
    </row>
    <row r="503" spans="31:33" x14ac:dyDescent="0.2">
      <c r="AE503" s="1"/>
      <c r="AF503" s="1"/>
      <c r="AG503" s="2"/>
    </row>
    <row r="504" spans="31:33" x14ac:dyDescent="0.2">
      <c r="AE504" s="1"/>
      <c r="AF504" s="1"/>
      <c r="AG504" s="2"/>
    </row>
    <row r="505" spans="31:33" x14ac:dyDescent="0.2">
      <c r="AE505" s="1"/>
      <c r="AF505" s="1"/>
      <c r="AG505" s="2"/>
    </row>
    <row r="506" spans="31:33" x14ac:dyDescent="0.2">
      <c r="AE506" s="1"/>
      <c r="AF506" s="1"/>
      <c r="AG506" s="2"/>
    </row>
    <row r="507" spans="31:33" x14ac:dyDescent="0.2">
      <c r="AE507" s="1"/>
      <c r="AF507" s="1"/>
      <c r="AG507" s="2"/>
    </row>
    <row r="508" spans="31:33" x14ac:dyDescent="0.2">
      <c r="AE508" s="1"/>
      <c r="AF508" s="1"/>
      <c r="AG508" s="2"/>
    </row>
    <row r="509" spans="31:33" x14ac:dyDescent="0.2">
      <c r="AE509" s="1"/>
      <c r="AF509" s="1"/>
      <c r="AG509" s="2"/>
    </row>
    <row r="510" spans="31:33" x14ac:dyDescent="0.2">
      <c r="AE510" s="1"/>
      <c r="AF510" s="1"/>
      <c r="AG510" s="2"/>
    </row>
    <row r="511" spans="31:33" x14ac:dyDescent="0.2">
      <c r="AE511" s="1"/>
      <c r="AF511" s="1"/>
      <c r="AG511" s="2"/>
    </row>
    <row r="512" spans="31:33" x14ac:dyDescent="0.2">
      <c r="AE512" s="1"/>
      <c r="AF512" s="1"/>
      <c r="AG512" s="2"/>
    </row>
    <row r="513" spans="31:33" x14ac:dyDescent="0.2">
      <c r="AE513" s="1"/>
      <c r="AF513" s="1"/>
      <c r="AG513" s="2"/>
    </row>
    <row r="514" spans="31:33" x14ac:dyDescent="0.2">
      <c r="AE514" s="1"/>
      <c r="AF514" s="1"/>
      <c r="AG514" s="2"/>
    </row>
    <row r="515" spans="31:33" x14ac:dyDescent="0.2">
      <c r="AE515" s="1"/>
      <c r="AF515" s="1"/>
      <c r="AG515" s="2"/>
    </row>
    <row r="516" spans="31:33" x14ac:dyDescent="0.2">
      <c r="AE516" s="1"/>
      <c r="AF516" s="1"/>
      <c r="AG516" s="2"/>
    </row>
    <row r="517" spans="31:33" x14ac:dyDescent="0.2">
      <c r="AE517" s="1"/>
      <c r="AF517" s="1"/>
      <c r="AG517" s="2"/>
    </row>
    <row r="518" spans="31:33" x14ac:dyDescent="0.2">
      <c r="AE518" s="1"/>
      <c r="AF518" s="1"/>
      <c r="AG518" s="2"/>
    </row>
    <row r="519" spans="31:33" x14ac:dyDescent="0.2">
      <c r="AE519" s="1"/>
      <c r="AF519" s="1"/>
      <c r="AG519" s="2"/>
    </row>
    <row r="520" spans="31:33" x14ac:dyDescent="0.2">
      <c r="AE520" s="1"/>
      <c r="AF520" s="1"/>
      <c r="AG520" s="2"/>
    </row>
    <row r="521" spans="31:33" x14ac:dyDescent="0.2">
      <c r="AE521" s="1"/>
      <c r="AF521" s="1"/>
      <c r="AG521" s="2"/>
    </row>
    <row r="522" spans="31:33" x14ac:dyDescent="0.2">
      <c r="AE522" s="1"/>
      <c r="AF522" s="1"/>
      <c r="AG522" s="2"/>
    </row>
    <row r="523" spans="31:33" x14ac:dyDescent="0.2">
      <c r="AE523" s="1"/>
      <c r="AF523" s="1"/>
      <c r="AG523" s="2"/>
    </row>
    <row r="524" spans="31:33" x14ac:dyDescent="0.2">
      <c r="AE524" s="1"/>
      <c r="AF524" s="1"/>
      <c r="AG524" s="2"/>
    </row>
    <row r="525" spans="31:33" x14ac:dyDescent="0.2">
      <c r="AE525" s="1"/>
      <c r="AF525" s="1"/>
      <c r="AG525" s="2"/>
    </row>
    <row r="526" spans="31:33" x14ac:dyDescent="0.2">
      <c r="AE526" s="1"/>
      <c r="AF526" s="1"/>
      <c r="AG526" s="2"/>
    </row>
    <row r="527" spans="31:33" x14ac:dyDescent="0.2">
      <c r="AE527" s="1"/>
      <c r="AF527" s="1"/>
      <c r="AG527" s="2"/>
    </row>
    <row r="528" spans="31:33" x14ac:dyDescent="0.2">
      <c r="AE528" s="1"/>
      <c r="AF528" s="1"/>
      <c r="AG528" s="2"/>
    </row>
    <row r="529" spans="31:33" x14ac:dyDescent="0.2">
      <c r="AE529" s="1"/>
      <c r="AF529" s="1"/>
      <c r="AG529" s="2"/>
    </row>
    <row r="530" spans="31:33" x14ac:dyDescent="0.2">
      <c r="AE530" s="1"/>
      <c r="AF530" s="1"/>
      <c r="AG530" s="2"/>
    </row>
    <row r="531" spans="31:33" x14ac:dyDescent="0.2">
      <c r="AE531" s="1"/>
      <c r="AF531" s="1"/>
      <c r="AG531" s="2"/>
    </row>
    <row r="532" spans="31:33" x14ac:dyDescent="0.2">
      <c r="AE532" s="1"/>
      <c r="AF532" s="1"/>
      <c r="AG532" s="2"/>
    </row>
    <row r="533" spans="31:33" x14ac:dyDescent="0.2">
      <c r="AE533" s="1"/>
      <c r="AF533" s="1"/>
      <c r="AG533" s="2"/>
    </row>
    <row r="534" spans="31:33" x14ac:dyDescent="0.2">
      <c r="AE534" s="1"/>
      <c r="AF534" s="1"/>
      <c r="AG534" s="2"/>
    </row>
    <row r="535" spans="31:33" x14ac:dyDescent="0.2">
      <c r="AE535" s="1"/>
      <c r="AF535" s="1"/>
      <c r="AG535" s="2"/>
    </row>
    <row r="536" spans="31:33" x14ac:dyDescent="0.2">
      <c r="AE536" s="1"/>
      <c r="AF536" s="1"/>
      <c r="AG536" s="2"/>
    </row>
    <row r="537" spans="31:33" x14ac:dyDescent="0.2">
      <c r="AE537" s="1"/>
      <c r="AF537" s="1"/>
      <c r="AG537" s="2"/>
    </row>
    <row r="538" spans="31:33" x14ac:dyDescent="0.2">
      <c r="AE538" s="1"/>
      <c r="AF538" s="1"/>
      <c r="AG538" s="2"/>
    </row>
    <row r="539" spans="31:33" x14ac:dyDescent="0.2">
      <c r="AE539" s="1"/>
      <c r="AF539" s="1"/>
      <c r="AG539" s="2"/>
    </row>
    <row r="540" spans="31:33" x14ac:dyDescent="0.2">
      <c r="AE540" s="1"/>
      <c r="AF540" s="1"/>
      <c r="AG540" s="2"/>
    </row>
    <row r="541" spans="31:33" x14ac:dyDescent="0.2">
      <c r="AE541" s="1"/>
      <c r="AF541" s="1"/>
      <c r="AG541" s="2"/>
    </row>
    <row r="542" spans="31:33" x14ac:dyDescent="0.2">
      <c r="AE542" s="1"/>
      <c r="AF542" s="1"/>
      <c r="AG542" s="2"/>
    </row>
    <row r="543" spans="31:33" x14ac:dyDescent="0.2">
      <c r="AE543" s="1"/>
      <c r="AF543" s="1"/>
      <c r="AG543" s="2"/>
    </row>
    <row r="544" spans="31:33" x14ac:dyDescent="0.2">
      <c r="AE544" s="1"/>
      <c r="AF544" s="1"/>
      <c r="AG544" s="2"/>
    </row>
    <row r="545" spans="31:33" x14ac:dyDescent="0.2">
      <c r="AE545" s="1"/>
      <c r="AF545" s="1"/>
      <c r="AG545" s="2"/>
    </row>
    <row r="546" spans="31:33" x14ac:dyDescent="0.2">
      <c r="AE546" s="1"/>
      <c r="AF546" s="1"/>
      <c r="AG546" s="2"/>
    </row>
    <row r="547" spans="31:33" x14ac:dyDescent="0.2">
      <c r="AE547" s="1"/>
      <c r="AF547" s="1"/>
      <c r="AG547" s="2"/>
    </row>
    <row r="548" spans="31:33" ht="22" customHeight="1" x14ac:dyDescent="0.2">
      <c r="AE548" s="1"/>
      <c r="AF548" s="1"/>
      <c r="AG548" s="2"/>
    </row>
    <row r="549" spans="31:33" x14ac:dyDescent="0.2">
      <c r="AE549" s="1"/>
      <c r="AF549" s="1"/>
      <c r="AG549" s="2"/>
    </row>
    <row r="550" spans="31:33" x14ac:dyDescent="0.2">
      <c r="AE550" s="1"/>
      <c r="AF550" s="1"/>
      <c r="AG550" s="2"/>
    </row>
    <row r="551" spans="31:33" x14ac:dyDescent="0.2">
      <c r="AE551" s="1"/>
      <c r="AF551" s="1"/>
      <c r="AG551" s="2"/>
    </row>
    <row r="552" spans="31:33" x14ac:dyDescent="0.2">
      <c r="AE552" s="1"/>
      <c r="AF552" s="1"/>
      <c r="AG552" s="2"/>
    </row>
    <row r="553" spans="31:33" x14ac:dyDescent="0.2">
      <c r="AE553" s="1"/>
      <c r="AF553" s="1"/>
      <c r="AG553" s="2"/>
    </row>
    <row r="554" spans="31:33" x14ac:dyDescent="0.2">
      <c r="AE554" s="1"/>
      <c r="AF554" s="1"/>
      <c r="AG554" s="2"/>
    </row>
    <row r="555" spans="31:33" x14ac:dyDescent="0.2">
      <c r="AE555" s="1"/>
      <c r="AF555" s="1"/>
      <c r="AG555" s="2"/>
    </row>
    <row r="556" spans="31:33" x14ac:dyDescent="0.2">
      <c r="AE556" s="1"/>
      <c r="AF556" s="1"/>
      <c r="AG556" s="2"/>
    </row>
    <row r="557" spans="31:33" x14ac:dyDescent="0.2">
      <c r="AE557" s="1"/>
      <c r="AF557" s="1"/>
      <c r="AG557" s="2"/>
    </row>
    <row r="558" spans="31:33" x14ac:dyDescent="0.2">
      <c r="AE558" s="1"/>
      <c r="AF558" s="1"/>
      <c r="AG558" s="2"/>
    </row>
    <row r="559" spans="31:33" x14ac:dyDescent="0.2">
      <c r="AE559" s="1"/>
      <c r="AF559" s="1"/>
      <c r="AG559" s="2"/>
    </row>
    <row r="560" spans="31:33" x14ac:dyDescent="0.2">
      <c r="AE560" s="1"/>
      <c r="AF560" s="1"/>
      <c r="AG560" s="2"/>
    </row>
    <row r="561" spans="31:33" x14ac:dyDescent="0.2">
      <c r="AE561" s="1"/>
      <c r="AF561" s="1"/>
      <c r="AG561" s="2"/>
    </row>
    <row r="562" spans="31:33" x14ac:dyDescent="0.2">
      <c r="AE562" s="1"/>
      <c r="AF562" s="1"/>
      <c r="AG562" s="2"/>
    </row>
    <row r="563" spans="31:33" x14ac:dyDescent="0.2">
      <c r="AE563" s="1"/>
      <c r="AF563" s="1"/>
      <c r="AG563" s="2"/>
    </row>
    <row r="564" spans="31:33" x14ac:dyDescent="0.2">
      <c r="AE564" s="1"/>
      <c r="AF564" s="1"/>
      <c r="AG564" s="2"/>
    </row>
    <row r="565" spans="31:33" x14ac:dyDescent="0.2">
      <c r="AE565" s="1"/>
      <c r="AF565" s="1"/>
      <c r="AG565" s="2"/>
    </row>
    <row r="566" spans="31:33" x14ac:dyDescent="0.2">
      <c r="AE566" s="1"/>
      <c r="AF566" s="1"/>
      <c r="AG566" s="2"/>
    </row>
    <row r="567" spans="31:33" x14ac:dyDescent="0.2">
      <c r="AE567" s="1"/>
      <c r="AF567" s="1"/>
      <c r="AG567" s="2"/>
    </row>
    <row r="568" spans="31:33" x14ac:dyDescent="0.2">
      <c r="AE568" s="1"/>
      <c r="AF568" s="1"/>
      <c r="AG568" s="2"/>
    </row>
    <row r="569" spans="31:33" x14ac:dyDescent="0.2">
      <c r="AE569" s="1"/>
      <c r="AF569" s="1"/>
      <c r="AG569" s="2"/>
    </row>
    <row r="570" spans="31:33" x14ac:dyDescent="0.2">
      <c r="AE570" s="1"/>
      <c r="AF570" s="1"/>
      <c r="AG570" s="2"/>
    </row>
    <row r="571" spans="31:33" x14ac:dyDescent="0.2">
      <c r="AE571" s="1"/>
      <c r="AF571" s="1"/>
      <c r="AG571" s="2"/>
    </row>
    <row r="572" spans="31:33" x14ac:dyDescent="0.2">
      <c r="AE572" s="1"/>
      <c r="AF572" s="1"/>
      <c r="AG572" s="2"/>
    </row>
    <row r="573" spans="31:33" x14ac:dyDescent="0.2">
      <c r="AE573" s="1"/>
      <c r="AF573" s="1"/>
      <c r="AG573" s="2"/>
    </row>
    <row r="574" spans="31:33" x14ac:dyDescent="0.2">
      <c r="AE574" s="1"/>
      <c r="AF574" s="1"/>
      <c r="AG574" s="2"/>
    </row>
    <row r="575" spans="31:33" x14ac:dyDescent="0.2">
      <c r="AE575" s="1"/>
      <c r="AF575" s="1"/>
      <c r="AG575" s="2"/>
    </row>
    <row r="576" spans="31:33" x14ac:dyDescent="0.2">
      <c r="AE576" s="1"/>
      <c r="AF576" s="1"/>
      <c r="AG576" s="2"/>
    </row>
    <row r="577" spans="31:33" x14ac:dyDescent="0.2">
      <c r="AE577" s="1"/>
      <c r="AF577" s="1"/>
      <c r="AG577" s="2"/>
    </row>
    <row r="578" spans="31:33" x14ac:dyDescent="0.2">
      <c r="AE578" s="1"/>
      <c r="AF578" s="1"/>
      <c r="AG578" s="2"/>
    </row>
    <row r="579" spans="31:33" x14ac:dyDescent="0.2">
      <c r="AE579" s="1"/>
      <c r="AF579" s="1"/>
      <c r="AG579" s="2"/>
    </row>
    <row r="580" spans="31:33" x14ac:dyDescent="0.2">
      <c r="AE580" s="1"/>
      <c r="AF580" s="1"/>
      <c r="AG580" s="2"/>
    </row>
    <row r="581" spans="31:33" x14ac:dyDescent="0.2">
      <c r="AE581" s="1"/>
      <c r="AF581" s="1"/>
      <c r="AG581" s="2"/>
    </row>
    <row r="582" spans="31:33" x14ac:dyDescent="0.2">
      <c r="AE582" s="1"/>
      <c r="AF582" s="1"/>
      <c r="AG582" s="2"/>
    </row>
    <row r="583" spans="31:33" x14ac:dyDescent="0.2">
      <c r="AE583" s="1"/>
      <c r="AF583" s="1"/>
      <c r="AG583" s="2"/>
    </row>
    <row r="584" spans="31:33" x14ac:dyDescent="0.2">
      <c r="AE584" s="1"/>
      <c r="AF584" s="1"/>
      <c r="AG584" s="2"/>
    </row>
    <row r="585" spans="31:33" x14ac:dyDescent="0.2">
      <c r="AE585" s="1"/>
      <c r="AF585" s="1"/>
      <c r="AG585" s="2"/>
    </row>
    <row r="586" spans="31:33" x14ac:dyDescent="0.2">
      <c r="AE586" s="1"/>
      <c r="AF586" s="1"/>
      <c r="AG586" s="2"/>
    </row>
    <row r="587" spans="31:33" x14ac:dyDescent="0.2">
      <c r="AE587" s="1"/>
      <c r="AF587" s="1"/>
      <c r="AG587" s="2"/>
    </row>
    <row r="588" spans="31:33" x14ac:dyDescent="0.2">
      <c r="AE588" s="1"/>
      <c r="AF588" s="1"/>
      <c r="AG588" s="2"/>
    </row>
    <row r="589" spans="31:33" x14ac:dyDescent="0.2">
      <c r="AE589" s="1"/>
      <c r="AF589" s="1"/>
      <c r="AG589" s="2"/>
    </row>
    <row r="590" spans="31:33" x14ac:dyDescent="0.2">
      <c r="AE590" s="1"/>
      <c r="AF590" s="1"/>
      <c r="AG590" s="2"/>
    </row>
    <row r="591" spans="31:33" x14ac:dyDescent="0.2">
      <c r="AE591" s="1"/>
      <c r="AF591" s="1"/>
      <c r="AG591" s="2"/>
    </row>
    <row r="592" spans="31:33" x14ac:dyDescent="0.2">
      <c r="AE592" s="1"/>
      <c r="AF592" s="1"/>
      <c r="AG592" s="2"/>
    </row>
    <row r="593" spans="31:33" x14ac:dyDescent="0.2">
      <c r="AE593" s="1"/>
      <c r="AF593" s="1"/>
      <c r="AG593" s="2"/>
    </row>
    <row r="594" spans="31:33" x14ac:dyDescent="0.2">
      <c r="AE594" s="1"/>
      <c r="AF594" s="1"/>
      <c r="AG594" s="2"/>
    </row>
    <row r="595" spans="31:33" x14ac:dyDescent="0.2">
      <c r="AE595" s="1"/>
      <c r="AF595" s="1"/>
      <c r="AG595" s="2"/>
    </row>
    <row r="596" spans="31:33" x14ac:dyDescent="0.2">
      <c r="AE596" s="1"/>
      <c r="AF596" s="1"/>
      <c r="AG596" s="2"/>
    </row>
    <row r="597" spans="31:33" x14ac:dyDescent="0.2">
      <c r="AE597" s="1"/>
      <c r="AF597" s="1"/>
      <c r="AG597" s="2"/>
    </row>
    <row r="598" spans="31:33" x14ac:dyDescent="0.2">
      <c r="AE598" s="1"/>
      <c r="AF598" s="1"/>
      <c r="AG598" s="2"/>
    </row>
    <row r="599" spans="31:33" x14ac:dyDescent="0.2">
      <c r="AE599" s="1"/>
      <c r="AF599" s="1"/>
      <c r="AG599" s="2"/>
    </row>
    <row r="600" spans="31:33" x14ac:dyDescent="0.2">
      <c r="AE600" s="1"/>
      <c r="AF600" s="1"/>
      <c r="AG600" s="2"/>
    </row>
    <row r="601" spans="31:33" x14ac:dyDescent="0.2">
      <c r="AE601" s="1"/>
      <c r="AF601" s="1"/>
      <c r="AG601" s="2"/>
    </row>
    <row r="602" spans="31:33" x14ac:dyDescent="0.2">
      <c r="AE602" s="1"/>
      <c r="AF602" s="1"/>
      <c r="AG602" s="2"/>
    </row>
    <row r="603" spans="31:33" x14ac:dyDescent="0.2">
      <c r="AE603" s="1"/>
      <c r="AF603" s="1"/>
      <c r="AG603" s="2"/>
    </row>
    <row r="604" spans="31:33" x14ac:dyDescent="0.2">
      <c r="AE604" s="1"/>
      <c r="AF604" s="1"/>
      <c r="AG604" s="2"/>
    </row>
    <row r="605" spans="31:33" x14ac:dyDescent="0.2">
      <c r="AE605" s="1"/>
      <c r="AF605" s="1"/>
      <c r="AG605" s="2"/>
    </row>
    <row r="606" spans="31:33" x14ac:dyDescent="0.2">
      <c r="AE606" s="1"/>
      <c r="AF606" s="1"/>
      <c r="AG606" s="2"/>
    </row>
    <row r="607" spans="31:33" x14ac:dyDescent="0.2">
      <c r="AE607" s="1"/>
      <c r="AF607" s="1"/>
      <c r="AG607" s="2"/>
    </row>
    <row r="608" spans="31:33" x14ac:dyDescent="0.2">
      <c r="AE608" s="1"/>
      <c r="AF608" s="1"/>
      <c r="AG608" s="2"/>
    </row>
    <row r="609" spans="31:33" ht="17" customHeight="1" x14ac:dyDescent="0.2">
      <c r="AE609" s="1"/>
      <c r="AF609" s="1"/>
      <c r="AG609" s="2"/>
    </row>
    <row r="610" spans="31:33" x14ac:dyDescent="0.2">
      <c r="AE610" s="1"/>
      <c r="AF610" s="1"/>
      <c r="AG610" s="2"/>
    </row>
    <row r="611" spans="31:33" x14ac:dyDescent="0.2">
      <c r="AE611" s="1"/>
      <c r="AF611" s="1"/>
      <c r="AG611" s="2"/>
    </row>
    <row r="612" spans="31:33" x14ac:dyDescent="0.2">
      <c r="AE612" s="1"/>
      <c r="AF612" s="1"/>
      <c r="AG612" s="2"/>
    </row>
    <row r="613" spans="31:33" x14ac:dyDescent="0.2">
      <c r="AE613" s="1"/>
      <c r="AF613" s="1"/>
      <c r="AG613" s="2"/>
    </row>
    <row r="614" spans="31:33" x14ac:dyDescent="0.2">
      <c r="AE614" s="1"/>
      <c r="AF614" s="1"/>
      <c r="AG614" s="2"/>
    </row>
    <row r="615" spans="31:33" x14ac:dyDescent="0.2">
      <c r="AE615" s="1"/>
      <c r="AF615" s="1"/>
      <c r="AG615" s="2"/>
    </row>
    <row r="616" spans="31:33" x14ac:dyDescent="0.2">
      <c r="AE616" s="1"/>
      <c r="AF616" s="1"/>
      <c r="AG616" s="2"/>
    </row>
    <row r="617" spans="31:33" x14ac:dyDescent="0.2">
      <c r="AE617" s="1"/>
      <c r="AF617" s="1"/>
      <c r="AG617" s="2"/>
    </row>
    <row r="618" spans="31:33" x14ac:dyDescent="0.2">
      <c r="AE618" s="1"/>
      <c r="AF618" s="1"/>
      <c r="AG618" s="2"/>
    </row>
    <row r="619" spans="31:33" x14ac:dyDescent="0.2">
      <c r="AE619" s="1"/>
      <c r="AF619" s="1"/>
      <c r="AG619" s="2"/>
    </row>
    <row r="620" spans="31:33" x14ac:dyDescent="0.2">
      <c r="AE620" s="1"/>
      <c r="AF620" s="1"/>
      <c r="AG620" s="2"/>
    </row>
    <row r="621" spans="31:33" x14ac:dyDescent="0.2">
      <c r="AE621" s="1"/>
      <c r="AF621" s="1"/>
      <c r="AG621" s="2"/>
    </row>
    <row r="622" spans="31:33" x14ac:dyDescent="0.2">
      <c r="AE622" s="1"/>
      <c r="AF622" s="1"/>
      <c r="AG622" s="2"/>
    </row>
    <row r="623" spans="31:33" x14ac:dyDescent="0.2">
      <c r="AE623" s="1"/>
      <c r="AF623" s="1"/>
      <c r="AG623" s="2"/>
    </row>
    <row r="624" spans="31:33" x14ac:dyDescent="0.2">
      <c r="AE624" s="1"/>
      <c r="AF624" s="1"/>
      <c r="AG624" s="2"/>
    </row>
    <row r="625" spans="31:33" x14ac:dyDescent="0.2">
      <c r="AE625" s="1"/>
      <c r="AF625" s="1"/>
      <c r="AG625" s="2"/>
    </row>
    <row r="626" spans="31:33" x14ac:dyDescent="0.2">
      <c r="AE626" s="1"/>
      <c r="AF626" s="1"/>
      <c r="AG626" s="2"/>
    </row>
    <row r="627" spans="31:33" x14ac:dyDescent="0.2">
      <c r="AE627" s="1"/>
      <c r="AF627" s="1"/>
      <c r="AG627" s="2"/>
    </row>
    <row r="628" spans="31:33" x14ac:dyDescent="0.2">
      <c r="AE628" s="1"/>
      <c r="AF628" s="1"/>
      <c r="AG628" s="2"/>
    </row>
    <row r="629" spans="31:33" x14ac:dyDescent="0.2">
      <c r="AE629" s="1"/>
      <c r="AF629" s="1"/>
      <c r="AG629" s="2"/>
    </row>
    <row r="630" spans="31:33" x14ac:dyDescent="0.2">
      <c r="AE630" s="1"/>
      <c r="AF630" s="1"/>
      <c r="AG630" s="2"/>
    </row>
    <row r="631" spans="31:33" x14ac:dyDescent="0.2">
      <c r="AE631" s="1"/>
      <c r="AF631" s="1"/>
      <c r="AG631" s="2"/>
    </row>
    <row r="632" spans="31:33" x14ac:dyDescent="0.2">
      <c r="AE632" s="1"/>
      <c r="AF632" s="1"/>
      <c r="AG632" s="2"/>
    </row>
    <row r="633" spans="31:33" x14ac:dyDescent="0.2">
      <c r="AE633" s="1"/>
      <c r="AF633" s="1"/>
      <c r="AG633" s="2"/>
    </row>
    <row r="634" spans="31:33" x14ac:dyDescent="0.2">
      <c r="AE634" s="1"/>
      <c r="AF634" s="1"/>
      <c r="AG634" s="2"/>
    </row>
    <row r="635" spans="31:33" x14ac:dyDescent="0.2">
      <c r="AE635" s="1"/>
      <c r="AF635" s="1"/>
      <c r="AG635" s="2"/>
    </row>
    <row r="636" spans="31:33" x14ac:dyDescent="0.2">
      <c r="AE636" s="1"/>
      <c r="AF636" s="1"/>
      <c r="AG636" s="2"/>
    </row>
    <row r="637" spans="31:33" x14ac:dyDescent="0.2">
      <c r="AE637" s="1"/>
      <c r="AF637" s="1"/>
      <c r="AG637" s="2"/>
    </row>
    <row r="638" spans="31:33" x14ac:dyDescent="0.2">
      <c r="AE638" s="1"/>
      <c r="AF638" s="1"/>
      <c r="AG638" s="2"/>
    </row>
    <row r="639" spans="31:33" x14ac:dyDescent="0.2">
      <c r="AE639" s="1"/>
      <c r="AF639" s="1"/>
      <c r="AG639" s="2"/>
    </row>
    <row r="640" spans="31:33" x14ac:dyDescent="0.2">
      <c r="AE640" s="1"/>
      <c r="AF640" s="1"/>
      <c r="AG640" s="2"/>
    </row>
    <row r="641" spans="31:33" x14ac:dyDescent="0.2">
      <c r="AE641" s="1"/>
      <c r="AF641" s="1"/>
      <c r="AG641" s="2"/>
    </row>
    <row r="642" spans="31:33" x14ac:dyDescent="0.2">
      <c r="AE642" s="1"/>
      <c r="AF642" s="1"/>
      <c r="AG642" s="2"/>
    </row>
    <row r="643" spans="31:33" x14ac:dyDescent="0.2">
      <c r="AE643" s="1"/>
      <c r="AF643" s="1"/>
      <c r="AG643" s="2"/>
    </row>
    <row r="644" spans="31:33" x14ac:dyDescent="0.2">
      <c r="AE644" s="1"/>
      <c r="AF644" s="1"/>
      <c r="AG644" s="2"/>
    </row>
    <row r="645" spans="31:33" x14ac:dyDescent="0.2">
      <c r="AE645" s="1"/>
      <c r="AF645" s="1"/>
      <c r="AG645" s="2"/>
    </row>
    <row r="646" spans="31:33" x14ac:dyDescent="0.2">
      <c r="AE646" s="1"/>
      <c r="AF646" s="1"/>
      <c r="AG646" s="2"/>
    </row>
    <row r="647" spans="31:33" x14ac:dyDescent="0.2">
      <c r="AE647" s="1"/>
      <c r="AF647" s="1"/>
      <c r="AG647" s="2"/>
    </row>
    <row r="648" spans="31:33" x14ac:dyDescent="0.2">
      <c r="AE648" s="1"/>
      <c r="AF648" s="1"/>
      <c r="AG648" s="2"/>
    </row>
    <row r="649" spans="31:33" x14ac:dyDescent="0.2">
      <c r="AE649" s="1"/>
      <c r="AF649" s="1"/>
      <c r="AG649" s="2"/>
    </row>
    <row r="650" spans="31:33" x14ac:dyDescent="0.2">
      <c r="AE650" s="1"/>
      <c r="AF650" s="1"/>
      <c r="AG650" s="2"/>
    </row>
    <row r="651" spans="31:33" x14ac:dyDescent="0.2">
      <c r="AE651" s="1"/>
      <c r="AF651" s="1"/>
      <c r="AG651" s="2"/>
    </row>
    <row r="652" spans="31:33" x14ac:dyDescent="0.2">
      <c r="AE652" s="1"/>
      <c r="AF652" s="1"/>
      <c r="AG652" s="2"/>
    </row>
    <row r="653" spans="31:33" x14ac:dyDescent="0.2">
      <c r="AE653" s="1"/>
      <c r="AF653" s="1"/>
      <c r="AG653" s="2"/>
    </row>
    <row r="654" spans="31:33" x14ac:dyDescent="0.2">
      <c r="AE654" s="1"/>
      <c r="AF654" s="1"/>
      <c r="AG654" s="2"/>
    </row>
    <row r="655" spans="31:33" x14ac:dyDescent="0.2">
      <c r="AE655" s="1"/>
      <c r="AF655" s="1"/>
      <c r="AG655" s="2"/>
    </row>
    <row r="656" spans="31:33" x14ac:dyDescent="0.2">
      <c r="AE656" s="1"/>
      <c r="AF656" s="1"/>
      <c r="AG656" s="2"/>
    </row>
    <row r="657" spans="31:33" x14ac:dyDescent="0.2">
      <c r="AE657" s="1"/>
      <c r="AF657" s="1"/>
      <c r="AG657" s="2"/>
    </row>
    <row r="658" spans="31:33" x14ac:dyDescent="0.2">
      <c r="AE658" s="1"/>
      <c r="AF658" s="1"/>
      <c r="AG658" s="2"/>
    </row>
    <row r="659" spans="31:33" x14ac:dyDescent="0.2">
      <c r="AE659" s="1"/>
      <c r="AF659" s="1"/>
      <c r="AG659" s="2"/>
    </row>
    <row r="660" spans="31:33" x14ac:dyDescent="0.2">
      <c r="AE660" s="1"/>
      <c r="AF660" s="1"/>
      <c r="AG660" s="2"/>
    </row>
    <row r="661" spans="31:33" x14ac:dyDescent="0.2">
      <c r="AE661" s="1"/>
      <c r="AF661" s="1"/>
      <c r="AG661" s="2"/>
    </row>
    <row r="662" spans="31:33" x14ac:dyDescent="0.2">
      <c r="AE662" s="1"/>
      <c r="AF662" s="1"/>
      <c r="AG662" s="2"/>
    </row>
    <row r="663" spans="31:33" x14ac:dyDescent="0.2">
      <c r="AE663" s="1"/>
      <c r="AF663" s="1"/>
      <c r="AG663" s="2"/>
    </row>
    <row r="664" spans="31:33" x14ac:dyDescent="0.2">
      <c r="AE664" s="1"/>
      <c r="AF664" s="1"/>
      <c r="AG664" s="2"/>
    </row>
    <row r="665" spans="31:33" x14ac:dyDescent="0.2">
      <c r="AE665" s="1"/>
      <c r="AF665" s="1"/>
      <c r="AG665" s="2"/>
    </row>
    <row r="666" spans="31:33" x14ac:dyDescent="0.2">
      <c r="AE666" s="1"/>
      <c r="AF666" s="1"/>
      <c r="AG666" s="2"/>
    </row>
    <row r="667" spans="31:33" x14ac:dyDescent="0.2">
      <c r="AE667" s="1"/>
      <c r="AF667" s="1"/>
      <c r="AG667" s="2"/>
    </row>
    <row r="668" spans="31:33" x14ac:dyDescent="0.2">
      <c r="AE668" s="1"/>
      <c r="AF668" s="1"/>
      <c r="AG668" s="2"/>
    </row>
    <row r="669" spans="31:33" x14ac:dyDescent="0.2">
      <c r="AE669" s="1"/>
      <c r="AF669" s="1"/>
      <c r="AG669" s="2"/>
    </row>
    <row r="670" spans="31:33" x14ac:dyDescent="0.2">
      <c r="AE670" s="1"/>
      <c r="AF670" s="1"/>
      <c r="AG670" s="2"/>
    </row>
    <row r="671" spans="31:33" x14ac:dyDescent="0.2">
      <c r="AE671" s="1"/>
      <c r="AF671" s="1"/>
      <c r="AG671" s="2"/>
    </row>
    <row r="672" spans="31:33" x14ac:dyDescent="0.2">
      <c r="AE672" s="1"/>
      <c r="AF672" s="1"/>
      <c r="AG672" s="2"/>
    </row>
    <row r="673" spans="31:33" x14ac:dyDescent="0.2">
      <c r="AE673" s="1"/>
      <c r="AF673" s="1"/>
      <c r="AG673" s="2"/>
    </row>
    <row r="674" spans="31:33" x14ac:dyDescent="0.2">
      <c r="AE674" s="1"/>
      <c r="AF674" s="1"/>
      <c r="AG674" s="2"/>
    </row>
    <row r="675" spans="31:33" x14ac:dyDescent="0.2">
      <c r="AE675" s="1"/>
      <c r="AF675" s="1"/>
      <c r="AG675" s="2"/>
    </row>
    <row r="676" spans="31:33" x14ac:dyDescent="0.2">
      <c r="AE676" s="1"/>
      <c r="AF676" s="1"/>
      <c r="AG676" s="2"/>
    </row>
    <row r="677" spans="31:33" x14ac:dyDescent="0.2">
      <c r="AE677" s="1"/>
      <c r="AF677" s="1"/>
      <c r="AG677" s="2"/>
    </row>
    <row r="678" spans="31:33" x14ac:dyDescent="0.2">
      <c r="AE678" s="1"/>
      <c r="AF678" s="1"/>
      <c r="AG678" s="2"/>
    </row>
    <row r="679" spans="31:33" x14ac:dyDescent="0.2">
      <c r="AE679" s="1"/>
      <c r="AF679" s="1"/>
      <c r="AG679" s="2"/>
    </row>
    <row r="680" spans="31:33" x14ac:dyDescent="0.2">
      <c r="AE680" s="1"/>
      <c r="AF680" s="1"/>
      <c r="AG680" s="2"/>
    </row>
    <row r="681" spans="31:33" x14ac:dyDescent="0.2">
      <c r="AE681" s="1"/>
      <c r="AF681" s="1"/>
      <c r="AG681" s="2"/>
    </row>
    <row r="682" spans="31:33" x14ac:dyDescent="0.2">
      <c r="AE682" s="1"/>
      <c r="AF682" s="1"/>
      <c r="AG682" s="2"/>
    </row>
    <row r="683" spans="31:33" x14ac:dyDescent="0.2">
      <c r="AE683" s="1"/>
      <c r="AF683" s="1"/>
      <c r="AG683" s="2"/>
    </row>
    <row r="684" spans="31:33" x14ac:dyDescent="0.2">
      <c r="AE684" s="1"/>
      <c r="AF684" s="1"/>
      <c r="AG684" s="2"/>
    </row>
    <row r="685" spans="31:33" x14ac:dyDescent="0.2">
      <c r="AE685" s="1"/>
      <c r="AF685" s="1"/>
      <c r="AG685" s="2"/>
    </row>
    <row r="686" spans="31:33" x14ac:dyDescent="0.2">
      <c r="AE686" s="1"/>
      <c r="AF686" s="1"/>
      <c r="AG686" s="2"/>
    </row>
    <row r="687" spans="31:33" x14ac:dyDescent="0.2">
      <c r="AE687" s="1"/>
      <c r="AF687" s="1"/>
      <c r="AG687" s="2"/>
    </row>
    <row r="688" spans="31:33" x14ac:dyDescent="0.2">
      <c r="AE688" s="1"/>
      <c r="AF688" s="1"/>
      <c r="AG688" s="2"/>
    </row>
    <row r="689" spans="31:33" x14ac:dyDescent="0.2">
      <c r="AE689" s="1"/>
      <c r="AF689" s="1"/>
      <c r="AG689" s="2"/>
    </row>
    <row r="690" spans="31:33" x14ac:dyDescent="0.2">
      <c r="AE690" s="1"/>
      <c r="AF690" s="1"/>
      <c r="AG690" s="2"/>
    </row>
    <row r="691" spans="31:33" x14ac:dyDescent="0.2">
      <c r="AE691" s="1"/>
      <c r="AF691" s="1"/>
      <c r="AG691" s="2"/>
    </row>
    <row r="692" spans="31:33" x14ac:dyDescent="0.2">
      <c r="AE692" s="1"/>
      <c r="AF692" s="1"/>
      <c r="AG692" s="2"/>
    </row>
    <row r="693" spans="31:33" x14ac:dyDescent="0.2">
      <c r="AE693" s="1"/>
      <c r="AF693" s="1"/>
      <c r="AG693" s="2"/>
    </row>
    <row r="694" spans="31:33" x14ac:dyDescent="0.2">
      <c r="AE694" s="1"/>
      <c r="AF694" s="1"/>
      <c r="AG694" s="2"/>
    </row>
    <row r="695" spans="31:33" x14ac:dyDescent="0.2">
      <c r="AE695" s="1"/>
      <c r="AF695" s="1"/>
      <c r="AG695" s="2"/>
    </row>
    <row r="696" spans="31:33" x14ac:dyDescent="0.2">
      <c r="AE696" s="1"/>
      <c r="AF696" s="1"/>
      <c r="AG696" s="2"/>
    </row>
    <row r="697" spans="31:33" x14ac:dyDescent="0.2">
      <c r="AE697" s="1"/>
      <c r="AF697" s="1"/>
      <c r="AG697" s="2"/>
    </row>
    <row r="698" spans="31:33" x14ac:dyDescent="0.2">
      <c r="AE698" s="1"/>
      <c r="AF698" s="1"/>
      <c r="AG698" s="2"/>
    </row>
    <row r="699" spans="31:33" x14ac:dyDescent="0.2">
      <c r="AE699" s="1"/>
      <c r="AF699" s="1"/>
      <c r="AG699" s="2"/>
    </row>
    <row r="700" spans="31:33" x14ac:dyDescent="0.2">
      <c r="AE700" s="1"/>
      <c r="AF700" s="1"/>
      <c r="AG700" s="2"/>
    </row>
    <row r="701" spans="31:33" x14ac:dyDescent="0.2">
      <c r="AE701" s="1"/>
      <c r="AF701" s="1"/>
      <c r="AG701" s="2"/>
    </row>
    <row r="702" spans="31:33" x14ac:dyDescent="0.2">
      <c r="AE702" s="1"/>
      <c r="AF702" s="1"/>
      <c r="AG702" s="2"/>
    </row>
    <row r="703" spans="31:33" x14ac:dyDescent="0.2">
      <c r="AE703" s="1"/>
      <c r="AF703" s="1"/>
      <c r="AG703" s="2"/>
    </row>
    <row r="704" spans="31:33" x14ac:dyDescent="0.2">
      <c r="AE704" s="1"/>
      <c r="AF704" s="1"/>
      <c r="AG704" s="2"/>
    </row>
    <row r="705" spans="31:33" x14ac:dyDescent="0.2">
      <c r="AE705" s="1"/>
      <c r="AF705" s="1"/>
      <c r="AG705" s="2"/>
    </row>
    <row r="706" spans="31:33" x14ac:dyDescent="0.2">
      <c r="AE706" s="1"/>
      <c r="AF706" s="1"/>
      <c r="AG706" s="2"/>
    </row>
    <row r="707" spans="31:33" x14ac:dyDescent="0.2">
      <c r="AE707" s="1"/>
      <c r="AF707" s="1"/>
      <c r="AG707" s="2"/>
    </row>
    <row r="708" spans="31:33" x14ac:dyDescent="0.2">
      <c r="AE708" s="1"/>
      <c r="AF708" s="1"/>
      <c r="AG708" s="2"/>
    </row>
    <row r="709" spans="31:33" x14ac:dyDescent="0.2">
      <c r="AE709" s="1"/>
      <c r="AF709" s="1"/>
      <c r="AG709" s="2"/>
    </row>
    <row r="710" spans="31:33" x14ac:dyDescent="0.2">
      <c r="AE710" s="1"/>
      <c r="AF710" s="1"/>
      <c r="AG710" s="2"/>
    </row>
    <row r="711" spans="31:33" x14ac:dyDescent="0.2">
      <c r="AE711" s="1"/>
      <c r="AF711" s="1"/>
      <c r="AG711" s="2"/>
    </row>
    <row r="712" spans="31:33" x14ac:dyDescent="0.2">
      <c r="AE712" s="1"/>
      <c r="AF712" s="1"/>
      <c r="AG712" s="2"/>
    </row>
    <row r="713" spans="31:33" x14ac:dyDescent="0.2">
      <c r="AE713" s="1"/>
      <c r="AF713" s="1"/>
      <c r="AG713" s="2"/>
    </row>
    <row r="714" spans="31:33" x14ac:dyDescent="0.2">
      <c r="AE714" s="1"/>
      <c r="AF714" s="1"/>
      <c r="AG714" s="2"/>
    </row>
    <row r="715" spans="31:33" x14ac:dyDescent="0.2">
      <c r="AE715" s="1"/>
      <c r="AF715" s="1"/>
      <c r="AG715" s="2"/>
    </row>
    <row r="716" spans="31:33" x14ac:dyDescent="0.2">
      <c r="AE716" s="1"/>
      <c r="AF716" s="1"/>
      <c r="AG716" s="2"/>
    </row>
    <row r="717" spans="31:33" x14ac:dyDescent="0.2">
      <c r="AE717" s="1"/>
      <c r="AF717" s="1"/>
      <c r="AG717" s="2"/>
    </row>
    <row r="718" spans="31:33" x14ac:dyDescent="0.2">
      <c r="AE718" s="1"/>
      <c r="AF718" s="1"/>
      <c r="AG718" s="2"/>
    </row>
    <row r="719" spans="31:33" x14ac:dyDescent="0.2">
      <c r="AE719" s="1"/>
      <c r="AF719" s="1"/>
      <c r="AG719" s="2"/>
    </row>
    <row r="720" spans="31:33" x14ac:dyDescent="0.2">
      <c r="AE720" s="1"/>
      <c r="AF720" s="1"/>
      <c r="AG720" s="2"/>
    </row>
    <row r="721" spans="31:33" x14ac:dyDescent="0.2">
      <c r="AE721" s="1"/>
      <c r="AF721" s="1"/>
      <c r="AG721" s="2"/>
    </row>
    <row r="722" spans="31:33" x14ac:dyDescent="0.2">
      <c r="AE722" s="1"/>
      <c r="AF722" s="1"/>
      <c r="AG722" s="2"/>
    </row>
    <row r="723" spans="31:33" x14ac:dyDescent="0.2">
      <c r="AE723" s="1"/>
      <c r="AF723" s="1"/>
      <c r="AG723" s="2"/>
    </row>
    <row r="724" spans="31:33" x14ac:dyDescent="0.2">
      <c r="AE724" s="1"/>
      <c r="AF724" s="1"/>
      <c r="AG724" s="2"/>
    </row>
    <row r="725" spans="31:33" x14ac:dyDescent="0.2">
      <c r="AE725" s="1"/>
      <c r="AF725" s="1"/>
      <c r="AG725" s="2"/>
    </row>
    <row r="726" spans="31:33" x14ac:dyDescent="0.2">
      <c r="AE726" s="1"/>
      <c r="AF726" s="1"/>
      <c r="AG726" s="2"/>
    </row>
    <row r="727" spans="31:33" x14ac:dyDescent="0.2">
      <c r="AE727" s="1"/>
      <c r="AF727" s="1"/>
      <c r="AG727" s="2"/>
    </row>
    <row r="728" spans="31:33" x14ac:dyDescent="0.2">
      <c r="AE728" s="1"/>
      <c r="AF728" s="1"/>
      <c r="AG728" s="2"/>
    </row>
    <row r="729" spans="31:33" x14ac:dyDescent="0.2">
      <c r="AE729" s="1"/>
      <c r="AF729" s="1"/>
      <c r="AG729" s="2"/>
    </row>
    <row r="730" spans="31:33" x14ac:dyDescent="0.2">
      <c r="AE730" s="1"/>
      <c r="AF730" s="1"/>
      <c r="AG730" s="2"/>
    </row>
    <row r="731" spans="31:33" x14ac:dyDescent="0.2">
      <c r="AE731" s="1"/>
      <c r="AF731" s="1"/>
      <c r="AG731" s="2"/>
    </row>
    <row r="732" spans="31:33" x14ac:dyDescent="0.2">
      <c r="AE732" s="1"/>
      <c r="AF732" s="1"/>
      <c r="AG732" s="2"/>
    </row>
    <row r="733" spans="31:33" x14ac:dyDescent="0.2">
      <c r="AE733" s="1"/>
      <c r="AF733" s="1"/>
      <c r="AG733" s="2"/>
    </row>
    <row r="734" spans="31:33" x14ac:dyDescent="0.2">
      <c r="AE734" s="1"/>
      <c r="AF734" s="1"/>
      <c r="AG734" s="2"/>
    </row>
    <row r="735" spans="31:33" x14ac:dyDescent="0.2">
      <c r="AE735" s="1"/>
      <c r="AF735" s="1"/>
      <c r="AG735" s="2"/>
    </row>
    <row r="736" spans="31:33" x14ac:dyDescent="0.2">
      <c r="AE736" s="1"/>
      <c r="AF736" s="1"/>
      <c r="AG736" s="2"/>
    </row>
    <row r="737" spans="31:33" x14ac:dyDescent="0.2">
      <c r="AE737" s="1"/>
      <c r="AF737" s="1"/>
      <c r="AG737" s="2"/>
    </row>
    <row r="738" spans="31:33" x14ac:dyDescent="0.2">
      <c r="AE738" s="1"/>
      <c r="AF738" s="1"/>
      <c r="AG738" s="2"/>
    </row>
    <row r="739" spans="31:33" x14ac:dyDescent="0.2">
      <c r="AE739" s="1"/>
      <c r="AF739" s="1"/>
      <c r="AG739" s="2"/>
    </row>
    <row r="740" spans="31:33" x14ac:dyDescent="0.2">
      <c r="AE740" s="1"/>
      <c r="AF740" s="1"/>
      <c r="AG740" s="2"/>
    </row>
    <row r="741" spans="31:33" x14ac:dyDescent="0.2">
      <c r="AE741" s="1"/>
      <c r="AF741" s="1"/>
      <c r="AG741" s="2"/>
    </row>
    <row r="742" spans="31:33" x14ac:dyDescent="0.2">
      <c r="AE742" s="1"/>
      <c r="AF742" s="1"/>
      <c r="AG742" s="2"/>
    </row>
    <row r="743" spans="31:33" x14ac:dyDescent="0.2">
      <c r="AE743" s="1"/>
      <c r="AF743" s="1"/>
      <c r="AG743" s="2"/>
    </row>
    <row r="744" spans="31:33" x14ac:dyDescent="0.2">
      <c r="AE744" s="1"/>
      <c r="AF744" s="1"/>
      <c r="AG744" s="2"/>
    </row>
    <row r="745" spans="31:33" x14ac:dyDescent="0.2">
      <c r="AE745" s="1"/>
      <c r="AF745" s="1"/>
      <c r="AG745" s="2"/>
    </row>
    <row r="746" spans="31:33" x14ac:dyDescent="0.2">
      <c r="AE746" s="1"/>
      <c r="AF746" s="1"/>
      <c r="AG746" s="2"/>
    </row>
    <row r="747" spans="31:33" x14ac:dyDescent="0.2">
      <c r="AE747" s="1"/>
      <c r="AF747" s="1"/>
      <c r="AG747" s="2"/>
    </row>
    <row r="748" spans="31:33" x14ac:dyDescent="0.2">
      <c r="AE748" s="1"/>
      <c r="AF748" s="1"/>
      <c r="AG748" s="2"/>
    </row>
    <row r="749" spans="31:33" x14ac:dyDescent="0.2">
      <c r="AE749" s="1"/>
      <c r="AF749" s="1"/>
      <c r="AG749" s="2"/>
    </row>
    <row r="750" spans="31:33" x14ac:dyDescent="0.2">
      <c r="AE750" s="1"/>
      <c r="AF750" s="1"/>
      <c r="AG750" s="2"/>
    </row>
    <row r="751" spans="31:33" x14ac:dyDescent="0.2">
      <c r="AE751" s="1"/>
      <c r="AF751" s="1"/>
      <c r="AG751" s="2"/>
    </row>
    <row r="752" spans="31:33" x14ac:dyDescent="0.2">
      <c r="AE752" s="1"/>
      <c r="AF752" s="1"/>
      <c r="AG752" s="2"/>
    </row>
    <row r="753" spans="31:33" x14ac:dyDescent="0.2">
      <c r="AE753" s="1"/>
      <c r="AF753" s="1"/>
      <c r="AG753" s="2"/>
    </row>
    <row r="754" spans="31:33" x14ac:dyDescent="0.2">
      <c r="AE754" s="1"/>
      <c r="AF754" s="1"/>
      <c r="AG754" s="2"/>
    </row>
    <row r="755" spans="31:33" x14ac:dyDescent="0.2">
      <c r="AE755" s="1"/>
      <c r="AF755" s="1"/>
      <c r="AG755" s="2"/>
    </row>
    <row r="756" spans="31:33" x14ac:dyDescent="0.2">
      <c r="AE756" s="1"/>
      <c r="AF756" s="1"/>
      <c r="AG756" s="2"/>
    </row>
    <row r="757" spans="31:33" x14ac:dyDescent="0.2">
      <c r="AE757" s="1"/>
      <c r="AF757" s="1"/>
      <c r="AG757" s="2"/>
    </row>
    <row r="758" spans="31:33" x14ac:dyDescent="0.2">
      <c r="AE758" s="1"/>
      <c r="AF758" s="1"/>
      <c r="AG758" s="2"/>
    </row>
    <row r="759" spans="31:33" x14ac:dyDescent="0.2">
      <c r="AE759" s="1"/>
      <c r="AF759" s="1"/>
      <c r="AG759" s="2"/>
    </row>
    <row r="760" spans="31:33" x14ac:dyDescent="0.2">
      <c r="AE760" s="1"/>
      <c r="AF760" s="1"/>
      <c r="AG760" s="2"/>
    </row>
    <row r="761" spans="31:33" x14ac:dyDescent="0.2">
      <c r="AE761" s="1"/>
      <c r="AF761" s="1"/>
      <c r="AG761" s="2"/>
    </row>
    <row r="762" spans="31:33" x14ac:dyDescent="0.2">
      <c r="AE762" s="1"/>
      <c r="AF762" s="1"/>
      <c r="AG762" s="2"/>
    </row>
    <row r="763" spans="31:33" x14ac:dyDescent="0.2">
      <c r="AE763" s="1"/>
      <c r="AF763" s="1"/>
      <c r="AG763" s="2"/>
    </row>
    <row r="764" spans="31:33" x14ac:dyDescent="0.2">
      <c r="AE764" s="1"/>
      <c r="AF764" s="1"/>
      <c r="AG764" s="2"/>
    </row>
    <row r="765" spans="31:33" x14ac:dyDescent="0.2">
      <c r="AE765" s="1"/>
      <c r="AF765" s="1"/>
      <c r="AG765" s="2"/>
    </row>
    <row r="766" spans="31:33" x14ac:dyDescent="0.2">
      <c r="AE766" s="1"/>
      <c r="AF766" s="1"/>
      <c r="AG766" s="2"/>
    </row>
    <row r="767" spans="31:33" x14ac:dyDescent="0.2">
      <c r="AE767" s="1"/>
      <c r="AF767" s="1"/>
      <c r="AG767" s="2"/>
    </row>
    <row r="768" spans="31:33" x14ac:dyDescent="0.2">
      <c r="AE768" s="1"/>
      <c r="AF768" s="1"/>
      <c r="AG768" s="2"/>
    </row>
    <row r="769" spans="31:33" x14ac:dyDescent="0.2">
      <c r="AE769" s="1"/>
      <c r="AF769" s="1"/>
      <c r="AG769" s="2"/>
    </row>
    <row r="770" spans="31:33" x14ac:dyDescent="0.2">
      <c r="AE770" s="1"/>
      <c r="AF770" s="1"/>
      <c r="AG770" s="2"/>
    </row>
    <row r="771" spans="31:33" x14ac:dyDescent="0.2">
      <c r="AE771" s="1"/>
      <c r="AF771" s="1"/>
      <c r="AG771" s="2"/>
    </row>
    <row r="772" spans="31:33" x14ac:dyDescent="0.2">
      <c r="AE772" s="1"/>
      <c r="AF772" s="1"/>
      <c r="AG772" s="2"/>
    </row>
    <row r="773" spans="31:33" x14ac:dyDescent="0.2">
      <c r="AE773" s="1"/>
      <c r="AF773" s="1"/>
      <c r="AG773" s="2"/>
    </row>
    <row r="774" spans="31:33" x14ac:dyDescent="0.2">
      <c r="AE774" s="1"/>
      <c r="AF774" s="1"/>
      <c r="AG774" s="2"/>
    </row>
    <row r="775" spans="31:33" x14ac:dyDescent="0.2">
      <c r="AE775" s="1"/>
      <c r="AF775" s="1"/>
      <c r="AG775" s="2"/>
    </row>
    <row r="776" spans="31:33" x14ac:dyDescent="0.2">
      <c r="AE776" s="1"/>
      <c r="AF776" s="1"/>
      <c r="AG776" s="2"/>
    </row>
    <row r="777" spans="31:33" x14ac:dyDescent="0.2">
      <c r="AE777" s="1"/>
      <c r="AF777" s="1"/>
      <c r="AG777" s="2"/>
    </row>
    <row r="778" spans="31:33" x14ac:dyDescent="0.2">
      <c r="AE778" s="1"/>
      <c r="AF778" s="1"/>
      <c r="AG778" s="2"/>
    </row>
    <row r="779" spans="31:33" x14ac:dyDescent="0.2">
      <c r="AE779" s="1"/>
      <c r="AF779" s="1"/>
      <c r="AG779" s="2"/>
    </row>
    <row r="780" spans="31:33" x14ac:dyDescent="0.2">
      <c r="AE780" s="1"/>
      <c r="AF780" s="1"/>
      <c r="AG780" s="2"/>
    </row>
    <row r="781" spans="31:33" x14ac:dyDescent="0.2">
      <c r="AE781" s="1"/>
      <c r="AF781" s="1"/>
      <c r="AG781" s="2"/>
    </row>
    <row r="782" spans="31:33" x14ac:dyDescent="0.2">
      <c r="AE782" s="1"/>
      <c r="AF782" s="1"/>
      <c r="AG782" s="2"/>
    </row>
    <row r="783" spans="31:33" x14ac:dyDescent="0.2">
      <c r="AE783" s="1"/>
      <c r="AF783" s="1"/>
      <c r="AG783" s="2"/>
    </row>
    <row r="784" spans="31:33" x14ac:dyDescent="0.2">
      <c r="AE784" s="1"/>
      <c r="AF784" s="1"/>
      <c r="AG784" s="2"/>
    </row>
    <row r="785" spans="31:33" x14ac:dyDescent="0.2">
      <c r="AE785" s="1"/>
      <c r="AF785" s="1"/>
      <c r="AG785" s="2"/>
    </row>
    <row r="786" spans="31:33" x14ac:dyDescent="0.2">
      <c r="AE786" s="1"/>
      <c r="AF786" s="1"/>
      <c r="AG786" s="2"/>
    </row>
    <row r="787" spans="31:33" x14ac:dyDescent="0.2">
      <c r="AE787" s="1"/>
      <c r="AF787" s="1"/>
      <c r="AG787" s="2"/>
    </row>
    <row r="788" spans="31:33" x14ac:dyDescent="0.2">
      <c r="AE788" s="1"/>
      <c r="AF788" s="1"/>
      <c r="AG788" s="2"/>
    </row>
    <row r="789" spans="31:33" x14ac:dyDescent="0.2">
      <c r="AE789" s="1"/>
      <c r="AF789" s="1"/>
      <c r="AG789" s="2"/>
    </row>
    <row r="790" spans="31:33" x14ac:dyDescent="0.2">
      <c r="AE790" s="1"/>
      <c r="AF790" s="1"/>
      <c r="AG790" s="2"/>
    </row>
    <row r="791" spans="31:33" x14ac:dyDescent="0.2">
      <c r="AE791" s="1"/>
      <c r="AF791" s="1"/>
      <c r="AG791" s="2"/>
    </row>
    <row r="792" spans="31:33" x14ac:dyDescent="0.2">
      <c r="AE792" s="1"/>
      <c r="AF792" s="1"/>
      <c r="AG792" s="2"/>
    </row>
    <row r="793" spans="31:33" x14ac:dyDescent="0.2">
      <c r="AE793" s="1"/>
      <c r="AF793" s="1"/>
      <c r="AG793" s="2"/>
    </row>
    <row r="794" spans="31:33" x14ac:dyDescent="0.2">
      <c r="AE794" s="1"/>
      <c r="AF794" s="1"/>
      <c r="AG794" s="2"/>
    </row>
  </sheetData>
  <sortState xmlns:xlrd2="http://schemas.microsoft.com/office/spreadsheetml/2017/richdata2" ref="A2:AR175">
    <sortCondition ref="AE2:AE175"/>
  </sortState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compiled_metadata_sorted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Gavin Thomas Koma</cp:lastModifiedBy>
  <dcterms:created xsi:type="dcterms:W3CDTF">2026-02-04T20:39:53Z</dcterms:created>
  <dcterms:modified xsi:type="dcterms:W3CDTF">2026-02-23T00:46:05Z</dcterms:modified>
</cp:coreProperties>
</file>