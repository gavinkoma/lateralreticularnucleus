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vin/Documents/lateralreticularnucleus/"/>
    </mc:Choice>
  </mc:AlternateContent>
  <xr:revisionPtr revIDLastSave="0" documentId="13_ncr:1_{F874435A-8DBE-8840-AD47-427FD65179DF}" xr6:coauthVersionLast="47" xr6:coauthVersionMax="47" xr10:uidLastSave="{00000000-0000-0000-0000-000000000000}"/>
  <bookViews>
    <workbookView xWindow="19180" yWindow="600" windowWidth="19220" windowHeight="19840" xr2:uid="{A3E16844-B4AA-9543-9B1D-9D3B691F9B3E}"/>
  </bookViews>
  <sheets>
    <sheet name="compiled_metadata_sor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2" i="1"/>
  <c r="AA3" i="1"/>
  <c r="AA4" i="1"/>
  <c r="AA5" i="1"/>
  <c r="AA6" i="1"/>
  <c r="AA7" i="1"/>
  <c r="AA8" i="1"/>
  <c r="AA9" i="1"/>
  <c r="AA10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81" i="1"/>
  <c r="AA82" i="1"/>
  <c r="AA83" i="1"/>
  <c r="AA84" i="1"/>
  <c r="AA85" i="1"/>
  <c r="AA86" i="1"/>
  <c r="AA87" i="1"/>
  <c r="AA88" i="1"/>
  <c r="AA89" i="1"/>
  <c r="AA90" i="1"/>
  <c r="AA72" i="1"/>
  <c r="AA91" i="1"/>
  <c r="AA92" i="1"/>
  <c r="AA93" i="1"/>
  <c r="AA94" i="1"/>
  <c r="AA73" i="1"/>
  <c r="AA74" i="1"/>
  <c r="AA75" i="1"/>
  <c r="AA76" i="1"/>
  <c r="AA95" i="1"/>
  <c r="AA96" i="1"/>
  <c r="AA77" i="1"/>
  <c r="AA78" i="1"/>
  <c r="AA97" i="1"/>
  <c r="AA98" i="1"/>
  <c r="AA99" i="1"/>
  <c r="AA100" i="1"/>
  <c r="AA101" i="1"/>
  <c r="AA102" i="1"/>
  <c r="AA103" i="1"/>
  <c r="AA79" i="1"/>
  <c r="AA80" i="1"/>
  <c r="AA104" i="1"/>
  <c r="AA105" i="1"/>
  <c r="AA106" i="1"/>
  <c r="AA107" i="1"/>
  <c r="AA108" i="1"/>
  <c r="AA109" i="1"/>
  <c r="AA110" i="1"/>
  <c r="AA111" i="1"/>
  <c r="AA112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13" i="1"/>
  <c r="AA114" i="1"/>
  <c r="AA115" i="1"/>
  <c r="AA116" i="1"/>
  <c r="AA117" i="1"/>
  <c r="AA133" i="1"/>
  <c r="AA134" i="1"/>
  <c r="AA135" i="1"/>
  <c r="AA136" i="1"/>
  <c r="AA137" i="1"/>
  <c r="AA118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38" i="1"/>
  <c r="AA139" i="1"/>
  <c r="AA161" i="1"/>
  <c r="AA162" i="1"/>
  <c r="AA163" i="1"/>
  <c r="AA164" i="1"/>
  <c r="AA165" i="1"/>
  <c r="AA166" i="1"/>
  <c r="AA167" i="1"/>
  <c r="AA168" i="1"/>
  <c r="AA169" i="1"/>
  <c r="AA170" i="1"/>
  <c r="AA171" i="1"/>
  <c r="AA140" i="1"/>
  <c r="AA172" i="1"/>
  <c r="AA173" i="1"/>
  <c r="AA174" i="1"/>
  <c r="AA175" i="1"/>
  <c r="AA15" i="1"/>
  <c r="U79" i="1"/>
  <c r="U140" i="1"/>
  <c r="U80" i="1"/>
  <c r="U98" i="1"/>
  <c r="U99" i="1"/>
  <c r="U100" i="1"/>
  <c r="U101" i="1"/>
  <c r="U102" i="1"/>
  <c r="U103" i="1"/>
  <c r="U133" i="1"/>
  <c r="U134" i="1"/>
  <c r="U36" i="1"/>
  <c r="U37" i="1"/>
  <c r="U104" i="1"/>
  <c r="U105" i="1"/>
  <c r="U106" i="1"/>
  <c r="U107" i="1"/>
  <c r="U108" i="1"/>
  <c r="U172" i="1"/>
  <c r="U173" i="1"/>
  <c r="U174" i="1"/>
  <c r="U175" i="1"/>
  <c r="U73" i="1"/>
  <c r="U74" i="1"/>
  <c r="U75" i="1"/>
  <c r="U76" i="1"/>
  <c r="U2" i="1"/>
  <c r="U3" i="1"/>
  <c r="U4" i="1"/>
  <c r="U95" i="1"/>
  <c r="U96" i="1"/>
  <c r="U135" i="1"/>
  <c r="U136" i="1"/>
  <c r="U137" i="1"/>
  <c r="U113" i="1"/>
  <c r="U114" i="1"/>
  <c r="U115" i="1"/>
  <c r="U77" i="1"/>
  <c r="U78" i="1"/>
  <c r="U124" i="1"/>
  <c r="U29" i="1"/>
  <c r="U30" i="1"/>
  <c r="U31" i="1"/>
  <c r="U32" i="1"/>
  <c r="U97" i="1"/>
  <c r="U111" i="1"/>
  <c r="U112" i="1"/>
  <c r="U71" i="1"/>
  <c r="U72" i="1"/>
  <c r="U116" i="1"/>
  <c r="U117" i="1"/>
  <c r="U119" i="1"/>
  <c r="U120" i="1"/>
  <c r="U121" i="1"/>
  <c r="U122" i="1"/>
  <c r="U123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125" i="1"/>
  <c r="U126" i="1"/>
  <c r="U127" i="1"/>
  <c r="U138" i="1"/>
  <c r="U139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28" i="1"/>
  <c r="U129" i="1"/>
  <c r="U130" i="1"/>
  <c r="U131" i="1"/>
  <c r="U132" i="1"/>
  <c r="U33" i="1"/>
  <c r="U34" i="1"/>
  <c r="U155" i="1"/>
  <c r="U156" i="1"/>
  <c r="U157" i="1"/>
  <c r="U158" i="1"/>
  <c r="U159" i="1"/>
  <c r="U160" i="1"/>
  <c r="U161" i="1"/>
  <c r="U35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162" i="1"/>
  <c r="U163" i="1"/>
  <c r="U164" i="1"/>
  <c r="U165" i="1"/>
  <c r="U166" i="1"/>
  <c r="U167" i="1"/>
  <c r="U168" i="1"/>
  <c r="U169" i="1"/>
  <c r="U170" i="1"/>
  <c r="U171" i="1"/>
  <c r="U56" i="1"/>
  <c r="U109" i="1"/>
  <c r="U110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118" i="1"/>
</calcChain>
</file>

<file path=xl/sharedStrings.xml><?xml version="1.0" encoding="utf-8"?>
<sst xmlns="http://schemas.openxmlformats.org/spreadsheetml/2006/main" count="4239" uniqueCount="792">
  <si>
    <t>csv_path</t>
  </si>
  <si>
    <t>relative_path</t>
  </si>
  <si>
    <t>filename</t>
  </si>
  <si>
    <t>filename_no_ext</t>
  </si>
  <si>
    <t>phase</t>
  </si>
  <si>
    <t>cohort</t>
  </si>
  <si>
    <t>group</t>
  </si>
  <si>
    <t>rat_id</t>
  </si>
  <si>
    <t>subject_id</t>
  </si>
  <si>
    <t>cam_id</t>
  </si>
  <si>
    <t>experiment_day</t>
  </si>
  <si>
    <t>timestamp_date</t>
  </si>
  <si>
    <t>timestamp_time</t>
  </si>
  <si>
    <t>camera_label</t>
  </si>
  <si>
    <t>cam1_dlt_coeffs</t>
  </si>
  <si>
    <t>cam1_xypts</t>
  </si>
  <si>
    <t>cam2_dlt_coeffs</t>
  </si>
  <si>
    <t>cam2_xypts</t>
  </si>
  <si>
    <t>cam3_dlt_coeffs</t>
  </si>
  <si>
    <t>cam3_xypts</t>
  </si>
  <si>
    <t>cam4_dlt_coeffs</t>
  </si>
  <si>
    <t>cam4_xypts</t>
  </si>
  <si>
    <t>cam5_dlt_coeffs</t>
  </si>
  <si>
    <t>cam5_xypts</t>
  </si>
  <si>
    <t>post_ablate</t>
  </si>
  <si>
    <t>5A</t>
  </si>
  <si>
    <t>camcommerb4</t>
  </si>
  <si>
    <t>calibration/01_09_26/calculated_calibs/01_09_26_cal01_camcommerb01DLTcoefs.csv</t>
  </si>
  <si>
    <t>calibration/01_09_26/calculated_calibs/01_09_26_cal01_camcommerb01xypts.csv</t>
  </si>
  <si>
    <t>calibration/01_09_26/calculated_calibs/01_09_26_cal01_camcommerb02DLTcoefs.csv</t>
  </si>
  <si>
    <t>calibration/01_09_26/calculated_calibs/01_09_26_cal01_camcommerb02xypts.csv</t>
  </si>
  <si>
    <t>calibration/01_09_26/calculated_calibs/01_09_26_cal01_camcommerb03DLTcoefs.csv</t>
  </si>
  <si>
    <t>calibration/01_09_26/calculated_calibs/01_09_26_cal01_camcommerb03xypts.csv</t>
  </si>
  <si>
    <t>calibration/01_09_26/calculated_calibs/01_09_26_cal01_camcommerb04DLTcoefs.csv</t>
  </si>
  <si>
    <t>calibration/01_09_26/calculated_calibs/01_09_26_cal01_camcommerb04xypts.csv</t>
  </si>
  <si>
    <t>calibration/01_09_26/calculated_calibs/01_09_26_cal01_camcommerb05DLTcoefs.csv</t>
  </si>
  <si>
    <t>calibration/01_09_26/calculated_calibs/01_09_26_cal01_camcommerb05xypts.csv</t>
  </si>
  <si>
    <t>/zfsgpu3/storage/lrn_project/josh_project/josh_lrn-gtk-2025-12-05/experimental_videos/post_ablate/cam4/1_9_26/5B-rat2/2026-01-09_14_36_19_camcommerb4/postablate_cam4_1_9_26_5B-rat2_2026-01-09_14_36_19_camcommerb4.csv</t>
  </si>
  <si>
    <t>post_ablate/cam4/1_9_26/5B-rat2/2026-01-09_14_36_19_camcommerb4/postablate_cam4_1_9_26_5B-rat2_2026-01-09_14_36_19_camcommerb4.csv</t>
  </si>
  <si>
    <t>postablate_cam4_1_9_26_5B-rat2_2026-01-09_14_36_19_camcommerb4.csv</t>
  </si>
  <si>
    <t>postablate_cam4_1_9_26_5B-rat2_2026-01-09_14_36_19_camcommerb4</t>
  </si>
  <si>
    <t>5B</t>
  </si>
  <si>
    <t>/zfsgpu3/storage/lrn_project/josh_project/josh_lrn-gtk-2025-12-05/experimental_videos/post_ablate/cam4/1_9_26/5B-rat2/2026-01-09_14_35_26_camcommerb4/postablate_cam4_1_9_26_5B-rat2_2026-01-09_14_35_26_camcommerb4.csv</t>
  </si>
  <si>
    <t>post_ablate/cam4/1_9_26/5B-rat2/2026-01-09_14_35_26_camcommerb4/postablate_cam4_1_9_26_5B-rat2_2026-01-09_14_35_26_camcommerb4.csv</t>
  </si>
  <si>
    <t>postablate_cam4_1_9_26_5B-rat2_2026-01-09_14_35_26_camcommerb4.csv</t>
  </si>
  <si>
    <t>postablate_cam4_1_9_26_5B-rat2_2026-01-09_14_35_26_camcommerb4</t>
  </si>
  <si>
    <t>/zfsgpu3/storage/lrn_project/josh_project/josh_lrn-gtk-2025-12-05/experimental_videos/post_ablate/cam4/1_9_26/5A-rat4/2026-01-09_14_19_02_camcommerb4/postablate_cam4_1_9_26_5A-rat4_2026-01-09_14_19_02_camcommerb4.csv</t>
  </si>
  <si>
    <t>post_ablate/cam4/1_9_26/5A-rat4/2026-01-09_14_19_02_camcommerb4/postablate_cam4_1_9_26_5A-rat4_2026-01-09_14_19_02_camcommerb4.csv</t>
  </si>
  <si>
    <t>postablate_cam4_1_9_26_5A-rat4_2026-01-09_14_19_02_camcommerb4.csv</t>
  </si>
  <si>
    <t>postablate_cam4_1_9_26_5A-rat4_2026-01-09_14_19_02_camcommerb4</t>
  </si>
  <si>
    <t>/zfsgpu3/storage/lrn_project/josh_project/josh_lrn-gtk-2025-12-05/experimental_videos/post_ablate/cam4/1_9_26/5A-rat4/2026-01-09_14_18_21_camcommerb4/postablate_cam4_1_9_26_5A-rat4_2026-01-09_14_18_21_camcommerb4.csv</t>
  </si>
  <si>
    <t>post_ablate/cam4/1_9_26/5A-rat4/2026-01-09_14_18_21_camcommerb4/postablate_cam4_1_9_26_5A-rat4_2026-01-09_14_18_21_camcommerb4.csv</t>
  </si>
  <si>
    <t>postablate_cam4_1_9_26_5A-rat4_2026-01-09_14_18_21_camcommerb4.csv</t>
  </si>
  <si>
    <t>postablate_cam4_1_9_26_5A-rat4_2026-01-09_14_18_21_camcommerb4</t>
  </si>
  <si>
    <t>/zfsgpu3/storage/lrn_project/josh_project/josh_lrn-gtk-2025-12-05/experimental_videos/post_ablate/cam4/1_9_26/5A-rat4/2026-01-09_14_19_47_camcommerb4/postablate_cam4_1_9_26_5A-rat4_2026-01-09_14_19_47_camcommerb4.csv</t>
  </si>
  <si>
    <t>post_ablate/cam4/1_9_26/5A-rat4/2026-01-09_14_19_47_camcommerb4/postablate_cam4_1_9_26_5A-rat4_2026-01-09_14_19_47_camcommerb4.csv</t>
  </si>
  <si>
    <t>postablate_cam4_1_9_26_5A-rat4_2026-01-09_14_19_47_camcommerb4.csv</t>
  </si>
  <si>
    <t>postablate_cam4_1_9_26_5A-rat4_2026-01-09_14_19_47_camcommerb4</t>
  </si>
  <si>
    <t>/zfsgpu3/storage/lrn_project/josh_project/josh_lrn-gtk-2025-12-05/experimental_videos/post_ablate/cam4/1_9_26/5A-rat4/2026-01-09_14_19_58_camcommerb4/postablate_cam4_1_9_26_5A-rat4_2026-01-09_14_19_58_camcommerb4.csv</t>
  </si>
  <si>
    <t>post_ablate/cam4/1_9_26/5A-rat4/2026-01-09_14_19_58_camcommerb4/postablate_cam4_1_9_26_5A-rat4_2026-01-09_14_19_58_camcommerb4.csv</t>
  </si>
  <si>
    <t>postablate_cam4_1_9_26_5A-rat4_2026-01-09_14_19_58_camcommerb4.csv</t>
  </si>
  <si>
    <t>postablate_cam4_1_9_26_5A-rat4_2026-01-09_14_19_58_camcommerb4</t>
  </si>
  <si>
    <t>/zfsgpu3/storage/lrn_project/josh_project/josh_lrn-gtk-2025-12-05/experimental_videos/post_ablate/cam4/1_9_26/5A-rat4/2026-01-09_14_20_10_camcommerb4/postablate_cam4_1_9_26_5A-rat4_2026-01-09_14_20_10_camcommerb4.csv</t>
  </si>
  <si>
    <t>post_ablate/cam4/1_9_26/5A-rat4/2026-01-09_14_20_10_camcommerb4/postablate_cam4_1_9_26_5A-rat4_2026-01-09_14_20_10_camcommerb4.csv</t>
  </si>
  <si>
    <t>postablate_cam4_1_9_26_5A-rat4_2026-01-09_14_20_10_camcommerb4.csv</t>
  </si>
  <si>
    <t>postablate_cam4_1_9_26_5A-rat4_2026-01-09_14_20_10_camcommerb4</t>
  </si>
  <si>
    <t>/zfsgpu3/storage/lrn_project/josh_project/josh_lrn-gtk-2025-12-05/experimental_videos/post_ablate/cam4/12_19_25/5A-rat4/2025-12-19_15_02_21_camcommerb4/postablate_cam4_12_19_25_5A-rat4_2025-12-19_15_02_21_camcommerb4.csv</t>
  </si>
  <si>
    <t>post_ablate/cam4/12_19_25/5A-rat4/2025-12-19_15_02_21_camcommerb4/postablate_cam4_12_19_25_5A-rat4_2025-12-19_15_02_21_camcommerb4.csv</t>
  </si>
  <si>
    <t>postablate_cam4_12_19_25_5A-rat4_2025-12-19_15_02_21_camcommerb4.csv</t>
  </si>
  <si>
    <t>postablate_cam4_12_19_25_5A-rat4_2025-12-19_15_02_21_camcommerb4</t>
  </si>
  <si>
    <t>calibration/12_19_25/calculated_calibs/12_19_25_cal01_camcommerb01DLTcoefs.csv</t>
  </si>
  <si>
    <t>calibration/12_19_25/calculated_calibs/12_19_25_cal01_camcommerb01xypts.csv</t>
  </si>
  <si>
    <t>calibration/12_19_25/calculated_calibs/12_19_25_cal01_camcommerb02DLTcoefs.csv</t>
  </si>
  <si>
    <t>calibration/12_19_25/calculated_calibs/12_19_25_cal01_camcommerb02xypts.csv</t>
  </si>
  <si>
    <t>calibration/12_19_25/calculated_calibs/12_19_25_cal01_camcommerb03DLTcoefs.csv</t>
  </si>
  <si>
    <t>calibration/12_19_25/calculated_calibs/12_19_25_cal01_camcommerb03xypts.csv</t>
  </si>
  <si>
    <t>calibration/12_19_25/calculated_calibs/12_19_25_cal04_camcommerb01DLTcoefs.csv</t>
  </si>
  <si>
    <t>calibration/12_19_25/calculated_calibs/12_19_25_cal04_camcommerb01xypts.csv</t>
  </si>
  <si>
    <t>calibration/12_19_25/calculated_calibs/12_19_25_cal01_camcommerb05DLTcoefs.csv</t>
  </si>
  <si>
    <t>/zfsgpu3/storage/lrn_project/josh_project/josh_lrn-gtk-2025-12-05/experimental_videos/post_ablate/cam4/12_19_25/5B-rat2/2025-12-19_15_37_15_camcommerb4/postablate_cam4_12_19_25_5B-rat2_2025-12-19_15_37_15_camcommerb4.csv</t>
  </si>
  <si>
    <t>post_ablate/cam4/12_19_25/5B-rat2/2025-12-19_15_37_15_camcommerb4/postablate_cam4_12_19_25_5B-rat2_2025-12-19_15_37_15_camcommerb4.csv</t>
  </si>
  <si>
    <t>postablate_cam4_12_19_25_5B-rat2_2025-12-19_15_37_15_camcommerb4.csv</t>
  </si>
  <si>
    <t>postablate_cam4_12_19_25_5B-rat2_2025-12-19_15_37_15_camcommerb4</t>
  </si>
  <si>
    <t>/zfsgpu3/storage/lrn_project/josh_project/josh_lrn-gtk-2025-12-05/experimental_videos/post_ablate/cam4/12_19_25/5B-rat6/2025-12-19_15_20_08_camcommerb4/postablate_cam4_12_19_25_5B-rat6_2025-12-19_15_20_08_camcommerb4.csv</t>
  </si>
  <si>
    <t>post_ablate/cam4/12_19_25/5B-rat6/2025-12-19_15_20_08_camcommerb4/postablate_cam4_12_19_25_5B-rat6_2025-12-19_15_20_08_camcommerb4.csv</t>
  </si>
  <si>
    <t>postablate_cam4_12_19_25_5B-rat6_2025-12-19_15_20_08_camcommerb4.csv</t>
  </si>
  <si>
    <t>postablate_cam4_12_19_25_5B-rat6_2025-12-19_15_20_08_camcommerb4</t>
  </si>
  <si>
    <t>/zfsgpu3/storage/lrn_project/josh_project/josh_lrn-gtk-2025-12-05/experimental_videos/post_ablate/cam4/12_19_25/5A-rat4/2025-12-19_15_02_53_camcommerb4/postablate_cam4_12_19_25_5A-rat4_2025-12-19_15_02_53_camcommerb4.csv</t>
  </si>
  <si>
    <t>post_ablate/cam4/12_19_25/5A-rat4/2025-12-19_15_02_53_camcommerb4/postablate_cam4_12_19_25_5A-rat4_2025-12-19_15_02_53_camcommerb4.csv</t>
  </si>
  <si>
    <t>postablate_cam4_12_19_25_5A-rat4_2025-12-19_15_02_53_camcommerb4.csv</t>
  </si>
  <si>
    <t>postablate_cam4_12_19_25_5A-rat4_2025-12-19_15_02_53_camcommerb4</t>
  </si>
  <si>
    <t>calibration/01_16_26/calculated_calibs/01_16_26_cal01_camcommerb01DLTcoefs.csv</t>
  </si>
  <si>
    <t>calibration/01_16_26/calculated_calibs/01_16_26_cal01_camcommerb01xypts.csv</t>
  </si>
  <si>
    <t>calibration/01_16_26/calculated_calibs/01_16_26_cal01_camcommerb02DLTcoefs.csv</t>
  </si>
  <si>
    <t>calibration/01_16_26/calculated_calibs/01_16_26_cal01_camcommerb02xypts.csv</t>
  </si>
  <si>
    <t>calibration/01_16_26/calculated_calibs/01_16_26_cal01_camcommerb03DLTcoefs.csv</t>
  </si>
  <si>
    <t>calibration/01_16_26/calculated_calibs/01_16_26_cal01_camcommerb03xypts.csv</t>
  </si>
  <si>
    <t>calibration/01_16_26/calculated_calibs/01_16_26_cal01_camcommerb04DLTcoefs.csv</t>
  </si>
  <si>
    <t>calibration/01_16_26/calculated_calibs/01_16_26_cal01_camcommerb04xypts.csv</t>
  </si>
  <si>
    <t>calibration/01_16_26/calculated_calibs/01_16_26_cal01_camcommerb05DLTcoefs.csv</t>
  </si>
  <si>
    <t>calibration/01_16_26/calculated_calibs/01_16_26_cal01_camcommerb05xypts.csv</t>
  </si>
  <si>
    <t>/zfsgpu3/storage/lrn_project/josh_project/josh_lrn-gtk-2025-12-05/experimental_videos/01_16_26/cam4/5A-4/2026-01-16_15_38_37_camcommerb4/postablate_cam4_5A-4_2026-01-16_15_38_37_camcommerb4.csv</t>
  </si>
  <si>
    <t>01_16_26/cam4/5A-4/2026-01-16_15_38_37_camcommerb4/postablate_cam4_5A-4_2026-01-16_15_38_37_camcommerb4.csv</t>
  </si>
  <si>
    <t>postablate_cam4_5A-4_2026-01-16_15_38_37_camcommerb4.csv</t>
  </si>
  <si>
    <t>postablate_cam4_5A-4_2026-01-16_15_38_37_camcommerb4</t>
  </si>
  <si>
    <t>/zfsgpu3/storage/lrn_project/josh_project/josh_lrn-gtk-2025-12-05/experimental_videos/01_16_26/cam4/5A-4/2026-01-16_15_40_28_camcommerb4/postablate_cam4_5A-4_2026-01-16_15_40_28_camcommerb4.csv</t>
  </si>
  <si>
    <t>01_16_26/cam4/5A-4/2026-01-16_15_40_28_camcommerb4/postablate_cam4_5A-4_2026-01-16_15_40_28_camcommerb4.csv</t>
  </si>
  <si>
    <t>postablate_cam4_5A-4_2026-01-16_15_40_28_camcommerb4.csv</t>
  </si>
  <si>
    <t>postablate_cam4_5A-4_2026-01-16_15_40_28_camcommerb4</t>
  </si>
  <si>
    <t>/zfsgpu3/storage/lrn_project/josh_project/josh_lrn-gtk-2025-12-05/experimental_videos/post_ablate/cam4/12_19_25/5A-rat4/2025-12-19_15_01_10_camcommerb4/postablate_cam4_12_19_25_5A-rat4_2025-12-19_15_01_10_camcommerb4.csv</t>
  </si>
  <si>
    <t>post_ablate/cam4/12_19_25/5A-rat4/2025-12-19_15_01_10_camcommerb4/postablate_cam4_12_19_25_5A-rat4_2025-12-19_15_01_10_camcommerb4.csv</t>
  </si>
  <si>
    <t>postablate_cam4_12_19_25_5A-rat4_2025-12-19_15_01_10_camcommerb4.csv</t>
  </si>
  <si>
    <t>postablate_cam4_12_19_25_5A-rat4_2025-12-19_15_01_10_camcommerb4</t>
  </si>
  <si>
    <t>/zfsgpu3/storage/lrn_project/josh_project/josh_lrn-gtk-2025-12-05/experimental_videos/post_ablate/cam4/12_19_25/5A-rat3/2025-12-19_14_48_22_camcommerb4/postablate_cam4_12_19_25_5A-rat3_2025-12-19_14_48_22_camcommerb4.csv</t>
  </si>
  <si>
    <t>post_ablate/cam4/12_19_25/5A-rat3/2025-12-19_14_48_22_camcommerb4/postablate_cam4_12_19_25_5A-rat3_2025-12-19_14_48_22_camcommerb4.csv</t>
  </si>
  <si>
    <t>postablate_cam4_12_19_25_5A-rat3_2025-12-19_14_48_22_camcommerb4.csv</t>
  </si>
  <si>
    <t>postablate_cam4_12_19_25_5A-rat3_2025-12-19_14_48_22_camcommerb4</t>
  </si>
  <si>
    <t>/zfsgpu3/storage/lrn_project/josh_project/josh_lrn-gtk-2025-12-05/experimental_videos/post_ablate/cam4/12_19_25/5A-rat4/2025-12-19_14_57_41_camcommerb4/postablate_cam4_12_19_25_5A-rat4_2025-12-19_14_57_41_camcommerb4.csv</t>
  </si>
  <si>
    <t>post_ablate/cam4/12_19_25/5A-rat4/2025-12-19_14_57_41_camcommerb4/postablate_cam4_12_19_25_5A-rat4_2025-12-19_14_57_41_camcommerb4.csv</t>
  </si>
  <si>
    <t>postablate_cam4_12_19_25_5A-rat4_2025-12-19_14_57_41_camcommerb4.csv</t>
  </si>
  <si>
    <t>postablate_cam4_12_19_25_5A-rat4_2025-12-19_14_57_41_camcommerb4</t>
  </si>
  <si>
    <t>/zfsgpu3/storage/lrn_project/josh_project/josh_lrn-gtk-2025-12-05/experimental_videos/post_ablate/cam4/12_19_25/5A-rat4/2025-12-19_15_01_45_camcommerb4/postablate_cam4_12_19_25_5A-rat4_2025-12-19_15_01_45_camcommerb4.csv</t>
  </si>
  <si>
    <t>post_ablate/cam4/12_19_25/5A-rat4/2025-12-19_15_01_45_camcommerb4/postablate_cam4_12_19_25_5A-rat4_2025-12-19_15_01_45_camcommerb4.csv</t>
  </si>
  <si>
    <t>postablate_cam4_12_19_25_5A-rat4_2025-12-19_15_01_45_camcommerb4.csv</t>
  </si>
  <si>
    <t>postablate_cam4_12_19_25_5A-rat4_2025-12-19_15_01_45_camcommerb4</t>
  </si>
  <si>
    <t>/zfsgpu3/storage/lrn_project/josh_project/josh_lrn-gtk-2025-12-05/experimental_videos/post_ablate/cam4/12_19_25/5A-rat4/2025-12-19_15_01_56_camcommerb4/postablate_cam4_12_19_25_5A-rat4_2025-12-19_15_01_56_camcommerb4.csv</t>
  </si>
  <si>
    <t>post_ablate/cam4/12_19_25/5A-rat4/2025-12-19_15_01_56_camcommerb4/postablate_cam4_12_19_25_5A-rat4_2025-12-19_15_01_56_camcommerb4.csv</t>
  </si>
  <si>
    <t>postablate_cam4_12_19_25_5A-rat4_2025-12-19_15_01_56_camcommerb4.csv</t>
  </si>
  <si>
    <t>postablate_cam4_12_19_25_5A-rat4_2025-12-19_15_01_56_camcommerb4</t>
  </si>
  <si>
    <t>/zfsgpu3/storage/lrn_project/josh_project/josh_lrn-gtk-2025-12-05/experimental_videos/01_16_26/cam4/5B-6/2026-01-16_16_12_23_camcommerb4/postablate_cam4_5B-6_2026-01-16_16_12_23_camcommerb4.csv</t>
  </si>
  <si>
    <t>01_16_26/cam4/5B-6/2026-01-16_16_12_23_camcommerb4/postablate_cam4_5B-6_2026-01-16_16_12_23_camcommerb4.csv</t>
  </si>
  <si>
    <t>postablate_cam4_5B-6_2026-01-16_16_12_23_camcommerb4.csv</t>
  </si>
  <si>
    <t>postablate_cam4_5B-6_2026-01-16_16_12_23_camcommerb4</t>
  </si>
  <si>
    <t>pre_ablate</t>
  </si>
  <si>
    <t>calibration/11_26_25/calculated_calibs/11_26_25_cal01_DLTcoefs.csv</t>
  </si>
  <si>
    <t>calibration/11_26_25/calculated_calibs/11_26_25_cal01_xypts.csv</t>
  </si>
  <si>
    <t>calibration/11_26_25/calculated_calibs/11_26_25_cal02_DLTcoefs.csv</t>
  </si>
  <si>
    <t>calibration/11_26_25/calculated_calibs/11_26_25_cal02_xypts.csv</t>
  </si>
  <si>
    <t>calibration/11_26_25/calculated_calibs/11_26_25_cal03_DLTcoefs.csv</t>
  </si>
  <si>
    <t>calibration/11_26_25/calculated_calibs/11_26_25_cal03_xypts.csv</t>
  </si>
  <si>
    <t>calibration/11_26_25/calculated_calibs/11_26_25_cal04_DLTcoefs.csv</t>
  </si>
  <si>
    <t>calibration/11_26_25/calculated_calibs/11_26_25_cal04_xypts.csv</t>
  </si>
  <si>
    <t>calibration/11_26_25/calculated_calibs/11_26_25_cal05_DLTcoefs.csv</t>
  </si>
  <si>
    <t>calibration/11_26_25/calculated_calibs/11_26_25_cal05_xypts.csv</t>
  </si>
  <si>
    <t>/zfsgpu3/storage/lrn_project/josh_project/josh_lrn-gtk-2025-12-05/experimental_videos/post_ablate/cam4/1_9_26/5B-rat6/2026-01-09_14_46_19_camcommerb4/postablate_cam4_1_9_26_5B-rat6_2026-01-09_14_46_19_camcommerb4.csv</t>
  </si>
  <si>
    <t>post_ablate/cam4/1_9_26/5B-rat6/2026-01-09_14_46_19_camcommerb4/postablate_cam4_1_9_26_5B-rat6_2026-01-09_14_46_19_camcommerb4.csv</t>
  </si>
  <si>
    <t>postablate_cam4_1_9_26_5B-rat6_2026-01-09_14_46_19_camcommerb4.csv</t>
  </si>
  <si>
    <t>postablate_cam4_1_9_26_5B-rat6_2026-01-09_14_46_19_camcommerb4</t>
  </si>
  <si>
    <t>/zfsgpu3/storage/lrn_project/josh_project/josh_lrn-gtk-2025-12-05/experimental_videos/11_26_25/Cohort_5A/cam4/11_26_25/rat4/2025-11-26_11_59_16_camcommerb4/Cohort_5A_cam4_rat4_2025-11-26_11_59_16.csv</t>
  </si>
  <si>
    <t>11_26_25/Cohort_5A/cam4/11_26_25/rat4/2025-11-26_11_59_16_camcommerb4/Cohort_5A_cam4_rat4_2025-11-26_11_59_16.csv</t>
  </si>
  <si>
    <t>Cohort_5A_cam4_rat4_2025-11-26_11_59_16.csv</t>
  </si>
  <si>
    <t>Cohort_5A_cam4_rat4_2025-11-26_11_59_16</t>
  </si>
  <si>
    <t>/zfsgpu3/storage/lrn_project/josh_project/josh_lrn-gtk-2025-12-05/experimental_videos/post_ablate/cam4/12_19_25/5B-rat6/2025-12-19_15_20_41_camcommerb4/postablate_cam4_12_19_25_5B-rat6_2025-12-19_15_20_41_camcommerb4.csv</t>
  </si>
  <si>
    <t>post_ablate/cam4/12_19_25/5B-rat6/2025-12-19_15_20_41_camcommerb4/postablate_cam4_12_19_25_5B-rat6_2025-12-19_15_20_41_camcommerb4.csv</t>
  </si>
  <si>
    <t>postablate_cam4_12_19_25_5B-rat6_2025-12-19_15_20_41_camcommerb4.csv</t>
  </si>
  <si>
    <t>postablate_cam4_12_19_25_5B-rat6_2025-12-19_15_20_41_camcommerb4</t>
  </si>
  <si>
    <t>/zfsgpu3/storage/lrn_project/josh_project/josh_lrn-gtk-2025-12-05/experimental_videos/11_26_25/Cohort_5A/cam4/11_26_25/rat4/2025-11-26_12_00_21_camcommerb4/Cohort_5A_cam4_rat4_2025-11-26_12_00_21.csv</t>
  </si>
  <si>
    <t>11_26_25/Cohort_5A/cam4/11_26_25/rat4/2025-11-26_12_00_21_camcommerb4/Cohort_5A_cam4_rat4_2025-11-26_12_00_21.csv</t>
  </si>
  <si>
    <t>Cohort_5A_cam4_rat4_2025-11-26_12_00_21.csv</t>
  </si>
  <si>
    <t>Cohort_5A_cam4_rat4_2025-11-26_12_00_21</t>
  </si>
  <si>
    <t>/zfsgpu3/storage/lrn_project/josh_project/josh_lrn-gtk-2025-12-05/experimental_videos/11_26_25/Cohort_5A/cam4/11_26_25/rat4/2025-11-26_12_04_18_camcommerb4/Cohort_5A_cam4_rat4_2025-11-26_12_04_18.csv</t>
  </si>
  <si>
    <t>11_26_25/Cohort_5A/cam4/11_26_25/rat4/2025-11-26_12_04_18_camcommerb4/Cohort_5A_cam4_rat4_2025-11-26_12_04_18.csv</t>
  </si>
  <si>
    <t>Cohort_5A_cam4_rat4_2025-11-26_12_04_18.csv</t>
  </si>
  <si>
    <t>Cohort_5A_cam4_rat4_2025-11-26_12_04_18</t>
  </si>
  <si>
    <t>/zfsgpu3/storage/lrn_project/josh_project/josh_lrn-gtk-2025-12-05/experimental_videos/11_26_25/Cohort_5A/cam4/11_26_25/rat4/2025-11-26_12_03_28_camcommerb4/Cohort_5A_cam4_rat4_2025-11-26_12_03_28.csv</t>
  </si>
  <si>
    <t>11_26_25/Cohort_5A/cam4/11_26_25/rat4/2025-11-26_12_03_28_camcommerb4/Cohort_5A_cam4_rat4_2025-11-26_12_03_28.csv</t>
  </si>
  <si>
    <t>Cohort_5A_cam4_rat4_2025-11-26_12_03_28.csv</t>
  </si>
  <si>
    <t>Cohort_5A_cam4_rat4_2025-11-26_12_03_28</t>
  </si>
  <si>
    <t>/zfsgpu3/storage/lrn_project/josh_project/josh_lrn-gtk-2025-12-05/experimental_videos/11_26_25/Cohort_5A/cam4/11_26_25/rat4/2025-11-26_12_03_15_camcommerb4/Cohort_5A_cam4_rat4_2025-11-26_12_03_15.csv</t>
  </si>
  <si>
    <t>11_26_25/Cohort_5A/cam4/11_26_25/rat4/2025-11-26_12_03_15_camcommerb4/Cohort_5A_cam4_rat4_2025-11-26_12_03_15.csv</t>
  </si>
  <si>
    <t>Cohort_5A_cam4_rat4_2025-11-26_12_03_15.csv</t>
  </si>
  <si>
    <t>Cohort_5A_cam4_rat4_2025-11-26_12_03_15</t>
  </si>
  <si>
    <t>/zfsgpu3/storage/lrn_project/josh_project/josh_lrn-gtk-2025-12-05/experimental_videos/11_26_25/Cohort_5A/cam4/11_26_25/rat4/2025-11-26_12_04_45_camcommerb4/Cohort_5A_cam4_rat4_2025-11-26_12_04_45.csv</t>
  </si>
  <si>
    <t>11_26_25/Cohort_5A/cam4/11_26_25/rat4/2025-11-26_12_04_45_camcommerb4/Cohort_5A_cam4_rat4_2025-11-26_12_04_45.csv</t>
  </si>
  <si>
    <t>Cohort_5A_cam4_rat4_2025-11-26_12_04_45.csv</t>
  </si>
  <si>
    <t>Cohort_5A_cam4_rat4_2025-11-26_12_04_45</t>
  </si>
  <si>
    <t>/zfsgpu3/storage/lrn_project/josh_project/josh_lrn-gtk-2025-12-05/experimental_videos/11_26_25/Cohort_5A/cam4/11_26_25/rat4/2025-11-26_12_01_48_camcommerb4/Cohort_5A_cam4_rat4_2025-11-26_12_01_48.csv</t>
  </si>
  <si>
    <t>11_26_25/Cohort_5A/cam4/11_26_25/rat4/2025-11-26_12_01_48_camcommerb4/Cohort_5A_cam4_rat4_2025-11-26_12_01_48.csv</t>
  </si>
  <si>
    <t>Cohort_5A_cam4_rat4_2025-11-26_12_01_48.csv</t>
  </si>
  <si>
    <t>Cohort_5A_cam4_rat4_2025-11-26_12_01_48</t>
  </si>
  <si>
    <t>/zfsgpu3/storage/lrn_project/josh_project/josh_lrn-gtk-2025-12-05/experimental_videos/11_26_25/Cohort_5A/cam4/11_26_25/rat4/2025-11-26_12_01_16_camcommerb4/Cohort_5A_cam4_rat4_2025-11-26_12_01_16.csv</t>
  </si>
  <si>
    <t>11_26_25/Cohort_5A/cam4/11_26_25/rat4/2025-11-26_12_01_16_camcommerb4/Cohort_5A_cam4_rat4_2025-11-26_12_01_16.csv</t>
  </si>
  <si>
    <t>Cohort_5A_cam4_rat4_2025-11-26_12_01_16.csv</t>
  </si>
  <si>
    <t>Cohort_5A_cam4_rat4_2025-11-26_12_01_16</t>
  </si>
  <si>
    <t>/zfsgpu3/storage/lrn_project/josh_project/josh_lrn-gtk-2025-12-05/experimental_videos/11_26_25/Cohort_5A/cam4/11_26_25/rat4/2025-11-26_12_02_46_camcommerb4/Cohort_5A_cam4_rat4_2025-11-26_12_02_46.csv</t>
  </si>
  <si>
    <t>11_26_25/Cohort_5A/cam4/11_26_25/rat4/2025-11-26_12_02_46_camcommerb4/Cohort_5A_cam4_rat4_2025-11-26_12_02_46.csv</t>
  </si>
  <si>
    <t>Cohort_5A_cam4_rat4_2025-11-26_12_02_46.csv</t>
  </si>
  <si>
    <t>Cohort_5A_cam4_rat4_2025-11-26_12_02_46</t>
  </si>
  <si>
    <t>camcommerb5</t>
  </si>
  <si>
    <t>/zfsgpu3/storage/lrn_project/josh_project/josh_lrn-gtk-2025-12-05/experimental_videos/post_ablate/cam5/1_9_26/5B-rat2/2026-01-09_14_36_45_camcommerb5/postablate_cam5_1_9_26_5B-rat2_2026-01-09_14_36_45_camcommerb5.csv</t>
  </si>
  <si>
    <t>post_ablate/cam5/1_9_26/5B-rat2/2026-01-09_14_36_45_camcommerb5/postablate_cam5_1_9_26_5B-rat2_2026-01-09_14_36_45_camcommerb5.csv</t>
  </si>
  <si>
    <t>postablate_cam5_1_9_26_5B-rat2_2026-01-09_14_36_45_camcommerb5.csv</t>
  </si>
  <si>
    <t>postablate_cam5_1_9_26_5B-rat2_2026-01-09_14_36_45_camcommerb5</t>
  </si>
  <si>
    <t>/zfsgpu3/storage/lrn_project/josh_project/josh_lrn-gtk-2025-12-05/experimental_videos/post_ablate/cam5/1_9_26/5B-rat2/2026-01-09_14_36_34_camcommerb5/postablate_cam5_1_9_26_5B-rat2_2026-01-09_14_36_34_camcommerb5.csv</t>
  </si>
  <si>
    <t>post_ablate/cam5/1_9_26/5B-rat2/2026-01-09_14_36_34_camcommerb5/postablate_cam5_1_9_26_5B-rat2_2026-01-09_14_36_34_camcommerb5.csv</t>
  </si>
  <si>
    <t>postablate_cam5_1_9_26_5B-rat2_2026-01-09_14_36_34_camcommerb5.csv</t>
  </si>
  <si>
    <t>postablate_cam5_1_9_26_5B-rat2_2026-01-09_14_36_34_camcommerb5</t>
  </si>
  <si>
    <t>/zfsgpu3/storage/lrn_project/josh_project/josh_lrn-gtk-2025-12-05/experimental_videos/post_ablate/cam5/1_9_26/5B-rat2/2026-01-09_14_35_55_camcommerb5/postablate_cam5_1_9_26_5B-rat2_2026-01-09_14_35_55_camcommerb5.csv</t>
  </si>
  <si>
    <t>post_ablate/cam5/1_9_26/5B-rat2/2026-01-09_14_35_55_camcommerb5/postablate_cam5_1_9_26_5B-rat2_2026-01-09_14_35_55_camcommerb5.csv</t>
  </si>
  <si>
    <t>postablate_cam5_1_9_26_5B-rat2_2026-01-09_14_35_55_camcommerb5.csv</t>
  </si>
  <si>
    <t>postablate_cam5_1_9_26_5B-rat2_2026-01-09_14_35_55_camcommerb5</t>
  </si>
  <si>
    <t>/zfsgpu3/storage/lrn_project/josh_project/josh_lrn-gtk-2025-12-05/experimental_videos/post_ablate/cam5/1_9_26/5B-rat2/2026-01-09_14_34_53_camcommerb5/postablate_cam5_1_9_26_5B-rat2_2026-01-09_14_34_53_camcommerb5.csv</t>
  </si>
  <si>
    <t>post_ablate/cam5/1_9_26/5B-rat2/2026-01-09_14_34_53_camcommerb5/postablate_cam5_1_9_26_5B-rat2_2026-01-09_14_34_53_camcommerb5.csv</t>
  </si>
  <si>
    <t>postablate_cam5_1_9_26_5B-rat2_2026-01-09_14_34_53_camcommerb5.csv</t>
  </si>
  <si>
    <t>postablate_cam5_1_9_26_5B-rat2_2026-01-09_14_34_53_camcommerb5</t>
  </si>
  <si>
    <t>/zfsgpu3/storage/lrn_project/josh_project/josh_lrn-gtk-2025-12-05/experimental_videos/post_ablate/cam5/1_9_26/5B-rat2/2026-01-09_14_37_29_camcommerb5/postablate_cam5_1_9_26_5B-rat2_2026-01-09_14_37_29_camcommerb5.csv</t>
  </si>
  <si>
    <t>post_ablate/cam5/1_9_26/5B-rat2/2026-01-09_14_37_29_camcommerb5/postablate_cam5_1_9_26_5B-rat2_2026-01-09_14_37_29_camcommerb5.csv</t>
  </si>
  <si>
    <t>postablate_cam5_1_9_26_5B-rat2_2026-01-09_14_37_29_camcommerb5.csv</t>
  </si>
  <si>
    <t>postablate_cam5_1_9_26_5B-rat2_2026-01-09_14_37_29_camcommerb5</t>
  </si>
  <si>
    <t>/zfsgpu3/storage/lrn_project/josh_project/josh_lrn-gtk-2025-12-05/experimental_videos/post_ablate/cam5/12_19_25/5A-rat5/2025-12-19_15_10_15_camcommerb5/postablate_cam5_12_19_25_5A-rat5_2025-12-19_15_10_15_camcommerb5.csv</t>
  </si>
  <si>
    <t>post_ablate/cam5/12_19_25/5A-rat5/2025-12-19_15_10_15_camcommerb5/postablate_cam5_12_19_25_5A-rat5_2025-12-19_15_10_15_camcommerb5.csv</t>
  </si>
  <si>
    <t>postablate_cam5_12_19_25_5A-rat5_2025-12-19_15_10_15_camcommerb5.csv</t>
  </si>
  <si>
    <t>postablate_cam5_12_19_25_5A-rat5_2025-12-19_15_10_15_camcommerb5</t>
  </si>
  <si>
    <t>/zfsgpu3/storage/lrn_project/josh_project/josh_lrn-gtk-2025-12-05/experimental_videos/post_ablate/cam5/12_19_25/5A-rat5/2025-12-19_15_11_22_camcommerb5/postablate_cam5_12_19_25_5A-rat5_2025-12-19_15_11_22_camcommerb5.csv</t>
  </si>
  <si>
    <t>post_ablate/cam5/12_19_25/5A-rat5/2025-12-19_15_11_22_camcommerb5/postablate_cam5_12_19_25_5A-rat5_2025-12-19_15_11_22_camcommerb5.csv</t>
  </si>
  <si>
    <t>postablate_cam5_12_19_25_5A-rat5_2025-12-19_15_11_22_camcommerb5.csv</t>
  </si>
  <si>
    <t>postablate_cam5_12_19_25_5A-rat5_2025-12-19_15_11_22_camcommerb5</t>
  </si>
  <si>
    <t>/zfsgpu3/storage/lrn_project/josh_project/josh_lrn-gtk-2025-12-05/experimental_videos/post_ablate/cam5/12_19_25/5A-rat5/2025-12-19_15_09_52_camcommerb5/postablate_cam5_12_19_25_5A-rat5_2025-12-19_15_09_52_camcommerb5.csv</t>
  </si>
  <si>
    <t>post_ablate/cam5/12_19_25/5A-rat5/2025-12-19_15_09_52_camcommerb5/postablate_cam5_12_19_25_5A-rat5_2025-12-19_15_09_52_camcommerb5.csv</t>
  </si>
  <si>
    <t>postablate_cam5_12_19_25_5A-rat5_2025-12-19_15_09_52_camcommerb5.csv</t>
  </si>
  <si>
    <t>postablate_cam5_12_19_25_5A-rat5_2025-12-19_15_09_52_camcommerb5</t>
  </si>
  <si>
    <t>/zfsgpu3/storage/lrn_project/josh_project/josh_lrn-gtk-2025-12-05/experimental_videos/post_ablate/cam5/12_19_25/5A-rat5/2025-12-19_15_12_50_camcommerb5/postablate_cam5_12_19_25_5A-rat5_2025-12-19_15_12_50_camcommerb5.csv</t>
  </si>
  <si>
    <t>post_ablate/cam5/12_19_25/5A-rat5/2025-12-19_15_12_50_camcommerb5/postablate_cam5_12_19_25_5A-rat5_2025-12-19_15_12_50_camcommerb5.csv</t>
  </si>
  <si>
    <t>postablate_cam5_12_19_25_5A-rat5_2025-12-19_15_12_50_camcommerb5.csv</t>
  </si>
  <si>
    <t>postablate_cam5_12_19_25_5A-rat5_2025-12-19_15_12_50_camcommerb5</t>
  </si>
  <si>
    <t>/zfsgpu3/storage/lrn_project/josh_project/josh_lrn-gtk-2025-12-05/experimental_videos/post_ablate/cam5/12_19_25/5A-rat5/2025-12-19_15_13_50_camcommerb5/postablate_cam5_12_19_25_5A-rat5_2025-12-19_15_13_50_camcommerb5.csv</t>
  </si>
  <si>
    <t>post_ablate/cam5/12_19_25/5A-rat5/2025-12-19_15_13_50_camcommerb5/postablate_cam5_12_19_25_5A-rat5_2025-12-19_15_13_50_camcommerb5.csv</t>
  </si>
  <si>
    <t>postablate_cam5_12_19_25_5A-rat5_2025-12-19_15_13_50_camcommerb5.csv</t>
  </si>
  <si>
    <t>postablate_cam5_12_19_25_5A-rat5_2025-12-19_15_13_50_camcommerb5</t>
  </si>
  <si>
    <t>/zfsgpu3/storage/lrn_project/josh_project/josh_lrn-gtk-2025-12-05/experimental_videos/post_ablate/cam5/12_19_25/5A-rat5/2025-12-19_15_14_06_camcommerb5/postablate_cam5_12_19_25_5A-rat5_2025-12-19_15_14_06_camcommerb5.csv</t>
  </si>
  <si>
    <t>post_ablate/cam5/12_19_25/5A-rat5/2025-12-19_15_14_06_camcommerb5/postablate_cam5_12_19_25_5A-rat5_2025-12-19_15_14_06_camcommerb5.csv</t>
  </si>
  <si>
    <t>postablate_cam5_12_19_25_5A-rat5_2025-12-19_15_14_06_camcommerb5.csv</t>
  </si>
  <si>
    <t>postablate_cam5_12_19_25_5A-rat5_2025-12-19_15_14_06_camcommerb5</t>
  </si>
  <si>
    <t>/zfsgpu3/storage/lrn_project/josh_project/josh_lrn-gtk-2025-12-05/experimental_videos/post_ablate/cam5/12_19_25/5B-rat2/2025-12-19_15_35_14_camcommerb5/postablate_cam5_12_19_25_5B-rat2_2025-12-19_15_35_14_camcommerb5.csv</t>
  </si>
  <si>
    <t>post_ablate/cam5/12_19_25/5B-rat2/2025-12-19_15_35_14_camcommerb5/postablate_cam5_12_19_25_5B-rat2_2025-12-19_15_35_14_camcommerb5.csv</t>
  </si>
  <si>
    <t>postablate_cam5_12_19_25_5B-rat2_2025-12-19_15_35_14_camcommerb5.csv</t>
  </si>
  <si>
    <t>postablate_cam5_12_19_25_5B-rat2_2025-12-19_15_35_14_camcommerb5</t>
  </si>
  <si>
    <t>/zfsgpu3/storage/lrn_project/josh_project/josh_lrn-gtk-2025-12-05/experimental_videos/post_ablate/cam5/12_19_25/5B-rat2/2025-12-19_15_35_26_camcommerb5/postablate_cam5_12_19_25_5B-rat2_2025-12-19_15_35_26_camcommerb5.csv</t>
  </si>
  <si>
    <t>post_ablate/cam5/12_19_25/5B-rat2/2025-12-19_15_35_26_camcommerb5/postablate_cam5_12_19_25_5B-rat2_2025-12-19_15_35_26_camcommerb5.csv</t>
  </si>
  <si>
    <t>postablate_cam5_12_19_25_5B-rat2_2025-12-19_15_35_26_camcommerb5.csv</t>
  </si>
  <si>
    <t>postablate_cam5_12_19_25_5B-rat2_2025-12-19_15_35_26_camcommerb5</t>
  </si>
  <si>
    <t>/zfsgpu3/storage/lrn_project/josh_project/josh_lrn-gtk-2025-12-05/experimental_videos/post_ablate/cam5/12_19_25/5B-rat2/2025-12-19_15_35_47_camcommerb5/postablate_cam5_12_19_25_5B-rat2_2025-12-19_15_35_47_camcommerb5.csv</t>
  </si>
  <si>
    <t>post_ablate/cam5/12_19_25/5B-rat2/2025-12-19_15_35_47_camcommerb5/postablate_cam5_12_19_25_5B-rat2_2025-12-19_15_35_47_camcommerb5.csv</t>
  </si>
  <si>
    <t>postablate_cam5_12_19_25_5B-rat2_2025-12-19_15_35_47_camcommerb5.csv</t>
  </si>
  <si>
    <t>postablate_cam5_12_19_25_5B-rat2_2025-12-19_15_35_47_camcommerb5</t>
  </si>
  <si>
    <t>/zfsgpu3/storage/lrn_project/josh_project/josh_lrn-gtk-2025-12-05/experimental_videos/post_ablate/cam5/12_19_25/5B-rat2/2025-12-19_15_35_57_camcommerb5/postablate_cam5_12_19_25_5B-rat2_2025-12-19_15_35_57_camcommerb5.csv</t>
  </si>
  <si>
    <t>post_ablate/cam5/12_19_25/5B-rat2/2025-12-19_15_35_57_camcommerb5/postablate_cam5_12_19_25_5B-rat2_2025-12-19_15_35_57_camcommerb5.csv</t>
  </si>
  <si>
    <t>postablate_cam5_12_19_25_5B-rat2_2025-12-19_15_35_57_camcommerb5.csv</t>
  </si>
  <si>
    <t>postablate_cam5_12_19_25_5B-rat2_2025-12-19_15_35_57_camcommerb5</t>
  </si>
  <si>
    <t>/zfsgpu3/storage/lrn_project/josh_project/josh_lrn-gtk-2025-12-05/experimental_videos/post_ablate/cam5/12_19_25/5B-rat2/2025-12-19_15_36_45_camcommerb5/postablate_cam5_12_19_25_5B-rat2_2025-12-19_15_36_45_camcommerb5.csv</t>
  </si>
  <si>
    <t>post_ablate/cam5/12_19_25/5B-rat2/2025-12-19_15_36_45_camcommerb5/postablate_cam5_12_19_25_5B-rat2_2025-12-19_15_36_45_camcommerb5.csv</t>
  </si>
  <si>
    <t>postablate_cam5_12_19_25_5B-rat2_2025-12-19_15_36_45_camcommerb5.csv</t>
  </si>
  <si>
    <t>postablate_cam5_12_19_25_5B-rat2_2025-12-19_15_36_45_camcommerb5</t>
  </si>
  <si>
    <t>/zfsgpu3/storage/lrn_project/josh_project/josh_lrn-gtk-2025-12-05/experimental_videos/post_ablate/cam5/12_19_25/5A-rat3/2025-12-19_14_43_44_camcommerb5/postablate_cam5_12_19_25_5A-rat3_2025-12-19_14_43_44_camcommerb5.csv</t>
  </si>
  <si>
    <t>post_ablate/cam5/12_19_25/5A-rat3/2025-12-19_14_43_44_camcommerb5/postablate_cam5_12_19_25_5A-rat3_2025-12-19_14_43_44_camcommerb5.csv</t>
  </si>
  <si>
    <t>postablate_cam5_12_19_25_5A-rat3_2025-12-19_14_43_44_camcommerb5.csv</t>
  </si>
  <si>
    <t>postablate_cam5_12_19_25_5A-rat3_2025-12-19_14_43_44_camcommerb5</t>
  </si>
  <si>
    <t>/zfsgpu3/storage/lrn_project/josh_project/josh_lrn-gtk-2025-12-05/experimental_videos/post_ablate/cam5/12_19_25/5A-rat3/2025-12-19_14_44_04_camcommerb5/postablate_cam5_12_19_25_5A-rat3_2025-12-19_14_44_04_camcommerb5.csv</t>
  </si>
  <si>
    <t>post_ablate/cam5/12_19_25/5A-rat3/2025-12-19_14_44_04_camcommerb5/postablate_cam5_12_19_25_5A-rat3_2025-12-19_14_44_04_camcommerb5.csv</t>
  </si>
  <si>
    <t>postablate_cam5_12_19_25_5A-rat3_2025-12-19_14_44_04_camcommerb5.csv</t>
  </si>
  <si>
    <t>postablate_cam5_12_19_25_5A-rat3_2025-12-19_14_44_04_camcommerb5</t>
  </si>
  <si>
    <t>/zfsgpu3/storage/lrn_project/josh_project/josh_lrn-gtk-2025-12-05/experimental_videos/post_ablate/cam5/12_19_25/5A-rat3/2025-12-19_14_44_40_camcommerb5/postablate_cam5_12_19_25_5A-rat3_2025-12-19_14_44_40_camcommerb5.csv</t>
  </si>
  <si>
    <t>post_ablate/cam5/12_19_25/5A-rat3/2025-12-19_14_44_40_camcommerb5/postablate_cam5_12_19_25_5A-rat3_2025-12-19_14_44_40_camcommerb5.csv</t>
  </si>
  <si>
    <t>postablate_cam5_12_19_25_5A-rat3_2025-12-19_14_44_40_camcommerb5.csv</t>
  </si>
  <si>
    <t>postablate_cam5_12_19_25_5A-rat3_2025-12-19_14_44_40_camcommerb5</t>
  </si>
  <si>
    <t>/zfsgpu3/storage/lrn_project/josh_project/josh_lrn-gtk-2025-12-05/experimental_videos/post_ablate/cam5/12_19_25/5A-rat3/2025-12-19_14_47_19_camcommerb5/postablate_cam5_12_19_25_5A-rat3_2025-12-19_14_47_19_camcommerb5.csv</t>
  </si>
  <si>
    <t>post_ablate/cam5/12_19_25/5A-rat3/2025-12-19_14_47_19_camcommerb5/postablate_cam5_12_19_25_5A-rat3_2025-12-19_14_47_19_camcommerb5.csv</t>
  </si>
  <si>
    <t>postablate_cam5_12_19_25_5A-rat3_2025-12-19_14_47_19_camcommerb5.csv</t>
  </si>
  <si>
    <t>postablate_cam5_12_19_25_5A-rat3_2025-12-19_14_47_19_camcommerb5</t>
  </si>
  <si>
    <t>/zfsgpu3/storage/lrn_project/josh_project/josh_lrn-gtk-2025-12-05/experimental_videos/post_ablate/cam5/12_19_25/5A-rat4/2025-12-19_14_59_17_camcommerb5/postablate_cam5_12_19_25_5A-rat4_2025-12-19_14_59_17_camcommerb5.csv</t>
  </si>
  <si>
    <t>post_ablate/cam5/12_19_25/5A-rat4/2025-12-19_14_59_17_camcommerb5/postablate_cam5_12_19_25_5A-rat4_2025-12-19_14_59_17_camcommerb5.csv</t>
  </si>
  <si>
    <t>postablate_cam5_12_19_25_5A-rat4_2025-12-19_14_59_17_camcommerb5.csv</t>
  </si>
  <si>
    <t>postablate_cam5_12_19_25_5A-rat4_2025-12-19_14_59_17_camcommerb5</t>
  </si>
  <si>
    <t>/zfsgpu3/storage/lrn_project/josh_project/josh_lrn-gtk-2025-12-05/experimental_videos/post_ablate/cam5/12_19_25/5A-rat4/2025-12-19_14_59_55_camcommerb5/postablate_cam5_12_19_25_5A-rat4_2025-12-19_14_59_55_camcommerb5.csv</t>
  </si>
  <si>
    <t>post_ablate/cam5/12_19_25/5A-rat4/2025-12-19_14_59_55_camcommerb5/postablate_cam5_12_19_25_5A-rat4_2025-12-19_14_59_55_camcommerb5.csv</t>
  </si>
  <si>
    <t>postablate_cam5_12_19_25_5A-rat4_2025-12-19_14_59_55_camcommerb5.csv</t>
  </si>
  <si>
    <t>postablate_cam5_12_19_25_5A-rat4_2025-12-19_14_59_55_camcommerb5</t>
  </si>
  <si>
    <t>/zfsgpu3/storage/lrn_project/josh_project/josh_lrn-gtk-2025-12-05/experimental_videos/post_ablate/cam5/12_19_25/5A-rat4/2025-12-19_15_00_09_camcommerb5/postablate_cam5_12_19_25_5A-rat4_2025-12-19_15_00_09_camcommerb5.csv</t>
  </si>
  <si>
    <t>post_ablate/cam5/12_19_25/5A-rat4/2025-12-19_15_00_09_camcommerb5/postablate_cam5_12_19_25_5A-rat4_2025-12-19_15_00_09_camcommerb5.csv</t>
  </si>
  <si>
    <t>postablate_cam5_12_19_25_5A-rat4_2025-12-19_15_00_09_camcommerb5.csv</t>
  </si>
  <si>
    <t>postablate_cam5_12_19_25_5A-rat4_2025-12-19_15_00_09_camcommerb5</t>
  </si>
  <si>
    <t>/zfsgpu3/storage/lrn_project/josh_project/josh_lrn-gtk-2025-12-05/experimental_videos/post_ablate/cam5/12_19_25/5B-rat2/2025-12-19_15_37_34_camcommerb5/postablate_cam5_12_19_25_5B-rat2_2025-12-19_15_37_34_camcommerb5.csv</t>
  </si>
  <si>
    <t>post_ablate/cam5/12_19_25/5B-rat2/2025-12-19_15_37_34_camcommerb5/postablate_cam5_12_19_25_5B-rat2_2025-12-19_15_37_34_camcommerb5.csv</t>
  </si>
  <si>
    <t>postablate_cam5_12_19_25_5B-rat2_2025-12-19_15_37_34_camcommerb5.csv</t>
  </si>
  <si>
    <t>postablate_cam5_12_19_25_5B-rat2_2025-12-19_15_37_34_camcommerb5</t>
  </si>
  <si>
    <t>/zfsgpu3/storage/lrn_project/josh_project/josh_lrn-gtk-2025-12-05/experimental_videos/post_ablate/cam5/12_19_25/5B-rat2/2025-12-19_15_39_35_camcommerb5/postablate_cam5_12_19_25_5B-rat2_2025-12-19_15_39_35_camcommerb5.csv</t>
  </si>
  <si>
    <t>post_ablate/cam5/12_19_25/5B-rat2/2025-12-19_15_39_35_camcommerb5/postablate_cam5_12_19_25_5B-rat2_2025-12-19_15_39_35_camcommerb5.csv</t>
  </si>
  <si>
    <t>postablate_cam5_12_19_25_5B-rat2_2025-12-19_15_39_35_camcommerb5.csv</t>
  </si>
  <si>
    <t>postablate_cam5_12_19_25_5B-rat2_2025-12-19_15_39_35_camcommerb5</t>
  </si>
  <si>
    <t>/zfsgpu3/storage/lrn_project/josh_project/josh_lrn-gtk-2025-12-05/experimental_videos/post_ablate/cam5/1_9_26/5A-rat3/2026-01-09_14_15_39_camcommerb5/postablate_cam5_1_9_26_5A-rat3_2026-01-09_14_15_39_camcommerb5.csv</t>
  </si>
  <si>
    <t>post_ablate/cam5/1_9_26/5A-rat3/2026-01-09_14_15_39_camcommerb5/postablate_cam5_1_9_26_5A-rat3_2026-01-09_14_15_39_camcommerb5.csv</t>
  </si>
  <si>
    <t>postablate_cam5_1_9_26_5A-rat3_2026-01-09_14_15_39_camcommerb5.csv</t>
  </si>
  <si>
    <t>postablate_cam5_1_9_26_5A-rat3_2026-01-09_14_15_39_camcommerb5</t>
  </si>
  <si>
    <t>/zfsgpu3/storage/lrn_project/josh_project/josh_lrn-gtk-2025-12-05/experimental_videos/post_ablate/cam5/1_9_26/5A-rat5/2026-01-09_14_26_33_camcommerb5/postablate_cam5_1_9_26_5A-rat5_2026-01-09_14_26_33_camcommerb5.csv</t>
  </si>
  <si>
    <t>post_ablate/cam5/1_9_26/5A-rat5/2026-01-09_14_26_33_camcommerb5/postablate_cam5_1_9_26_5A-rat5_2026-01-09_14_26_33_camcommerb5.csv</t>
  </si>
  <si>
    <t>postablate_cam5_1_9_26_5A-rat5_2026-01-09_14_26_33_camcommerb5.csv</t>
  </si>
  <si>
    <t>postablate_cam5_1_9_26_5A-rat5_2026-01-09_14_26_33_camcommerb5</t>
  </si>
  <si>
    <t>/zfsgpu3/storage/lrn_project/josh_project/josh_lrn-gtk-2025-12-05/experimental_videos/post_ablate/cam5/1_9_26/5A-rat5/2026-01-09_14_27_42_camcommerb5/postablate_cam5_1_9_26_5A-rat5_2026-01-09_14_27_42_camcommerb5.csv</t>
  </si>
  <si>
    <t>post_ablate/cam5/1_9_26/5A-rat5/2026-01-09_14_27_42_camcommerb5/postablate_cam5_1_9_26_5A-rat5_2026-01-09_14_27_42_camcommerb5.csv</t>
  </si>
  <si>
    <t>postablate_cam5_1_9_26_5A-rat5_2026-01-09_14_27_42_camcommerb5.csv</t>
  </si>
  <si>
    <t>postablate_cam5_1_9_26_5A-rat5_2026-01-09_14_27_42_camcommerb5</t>
  </si>
  <si>
    <t>/zfsgpu3/storage/lrn_project/josh_project/josh_lrn-gtk-2025-12-05/experimental_videos/post_ablate/cam5/1_9_26/5A-rat5/2026-01-09_14_28_52_camcommerb5/postablate_cam5_1_9_26_5A-rat5_2026-01-09_14_28_52_camcommerb5.csv</t>
  </si>
  <si>
    <t>post_ablate/cam5/1_9_26/5A-rat5/2026-01-09_14_28_52_camcommerb5/postablate_cam5_1_9_26_5A-rat5_2026-01-09_14_28_52_camcommerb5.csv</t>
  </si>
  <si>
    <t>postablate_cam5_1_9_26_5A-rat5_2026-01-09_14_28_52_camcommerb5.csv</t>
  </si>
  <si>
    <t>postablate_cam5_1_9_26_5A-rat5_2026-01-09_14_28_52_camcommerb5</t>
  </si>
  <si>
    <t>/zfsgpu3/storage/lrn_project/josh_project/josh_lrn-gtk-2025-12-05/experimental_videos/post_ablate/cam5/1_9_26/5A-rat5/2026-01-09_14_29_20_camcommerb5/postablate_cam5_1_9_26_5A-rat5_2026-01-09_14_29_20_camcommerb5.csv</t>
  </si>
  <si>
    <t>post_ablate/cam5/1_9_26/5A-rat5/2026-01-09_14_29_20_camcommerb5/postablate_cam5_1_9_26_5A-rat5_2026-01-09_14_29_20_camcommerb5.csv</t>
  </si>
  <si>
    <t>postablate_cam5_1_9_26_5A-rat5_2026-01-09_14_29_20_camcommerb5.csv</t>
  </si>
  <si>
    <t>postablate_cam5_1_9_26_5A-rat5_2026-01-09_14_29_20_camcommerb5</t>
  </si>
  <si>
    <t>/zfsgpu3/storage/lrn_project/josh_project/josh_lrn-gtk-2025-12-05/experimental_videos/post_ablate/cam5/1_9_26/5A-rat5/2026-01-09_14_29_34_camcommerb5/postablate_cam5_1_9_26_5A-rat5_2026-01-09_14_29_34_camcommerb5.csv</t>
  </si>
  <si>
    <t>post_ablate/cam5/1_9_26/5A-rat5/2026-01-09_14_29_34_camcommerb5/postablate_cam5_1_9_26_5A-rat5_2026-01-09_14_29_34_camcommerb5.csv</t>
  </si>
  <si>
    <t>postablate_cam5_1_9_26_5A-rat5_2026-01-09_14_29_34_camcommerb5.csv</t>
  </si>
  <si>
    <t>postablate_cam5_1_9_26_5A-rat5_2026-01-09_14_29_34_camcommerb5</t>
  </si>
  <si>
    <t>/zfsgpu3/storage/lrn_project/josh_project/josh_lrn-gtk-2025-12-05/experimental_videos/post_ablate/cam5/1_9_26/5A-rat3/2026-01-09_14_14_13_camcommerb5/postablate_cam5_1_9_26_5A-rat3_2026-01-09_14_14_13_camcommerb5.csv</t>
  </si>
  <si>
    <t>post_ablate/cam5/1_9_26/5A-rat3/2026-01-09_14_14_13_camcommerb5/postablate_cam5_1_9_26_5A-rat3_2026-01-09_14_14_13_camcommerb5.csv</t>
  </si>
  <si>
    <t>postablate_cam5_1_9_26_5A-rat3_2026-01-09_14_14_13_camcommerb5.csv</t>
  </si>
  <si>
    <t>postablate_cam5_1_9_26_5A-rat3_2026-01-09_14_14_13_camcommerb5</t>
  </si>
  <si>
    <t>/zfsgpu3/storage/lrn_project/josh_project/josh_lrn-gtk-2025-12-05/experimental_videos/post_ablate/cam5/1_9_26/5A-rat3/2026-01-09_14_13_41_camcommerb5/postablate_cam5_1_9_26_5A-rat3_2026-01-09_14_13_41_camcommerb5.csv</t>
  </si>
  <si>
    <t>post_ablate/cam5/1_9_26/5A-rat3/2026-01-09_14_13_41_camcommerb5/postablate_cam5_1_9_26_5A-rat3_2026-01-09_14_13_41_camcommerb5.csv</t>
  </si>
  <si>
    <t>postablate_cam5_1_9_26_5A-rat3_2026-01-09_14_13_41_camcommerb5.csv</t>
  </si>
  <si>
    <t>postablate_cam5_1_9_26_5A-rat3_2026-01-09_14_13_41_camcommerb5</t>
  </si>
  <si>
    <t>/zfsgpu3/storage/lrn_project/josh_project/josh_lrn-gtk-2025-12-05/experimental_videos/post_ablate/cam5/1_9_26/5A-rat3/2026-01-09_14_13_07_camcommerb5/postablate_cam5_1_9_26_5A-rat3_2026-01-09_14_13_07_camcommerb5.csv</t>
  </si>
  <si>
    <t>post_ablate/cam5/1_9_26/5A-rat3/2026-01-09_14_13_07_camcommerb5/postablate_cam5_1_9_26_5A-rat3_2026-01-09_14_13_07_camcommerb5.csv</t>
  </si>
  <si>
    <t>postablate_cam5_1_9_26_5A-rat3_2026-01-09_14_13_07_camcommerb5.csv</t>
  </si>
  <si>
    <t>postablate_cam5_1_9_26_5A-rat3_2026-01-09_14_13_07_camcommerb5</t>
  </si>
  <si>
    <t>/zfsgpu3/storage/lrn_project/josh_project/josh_lrn-gtk-2025-12-05/experimental_videos/post_ablate/cam5/12_19_25/5B-rat2/2025-12-19_15_39_45_camcommerb5/postablate_cam5_12_19_25_5B-rat2_2025-12-19_15_39_45_camcommerb5.csv</t>
  </si>
  <si>
    <t>post_ablate/cam5/12_19_25/5B-rat2/2025-12-19_15_39_45_camcommerb5/postablate_cam5_12_19_25_5B-rat2_2025-12-19_15_39_45_camcommerb5.csv</t>
  </si>
  <si>
    <t>postablate_cam5_12_19_25_5B-rat2_2025-12-19_15_39_45_camcommerb5.csv</t>
  </si>
  <si>
    <t>postablate_cam5_12_19_25_5B-rat2_2025-12-19_15_39_45_camcommerb5</t>
  </si>
  <si>
    <t>/zfsgpu3/storage/lrn_project/josh_project/josh_lrn-gtk-2025-12-05/experimental_videos/post_ablate/cam5/12_19_25/5B-rat2/2025-12-19_15_40_28_camcommerb5/postablate_cam5_12_19_25_5B-rat2_2025-12-19_15_40_28_camcommerb5.csv</t>
  </si>
  <si>
    <t>post_ablate/cam5/12_19_25/5B-rat2/2025-12-19_15_40_28_camcommerb5/postablate_cam5_12_19_25_5B-rat2_2025-12-19_15_40_28_camcommerb5.csv</t>
  </si>
  <si>
    <t>postablate_cam5_12_19_25_5B-rat2_2025-12-19_15_40_28_camcommerb5.csv</t>
  </si>
  <si>
    <t>postablate_cam5_12_19_25_5B-rat2_2025-12-19_15_40_28_camcommerb5</t>
  </si>
  <si>
    <t>/zfsgpu3/storage/lrn_project/josh_project/josh_lrn-gtk-2025-12-05/experimental_videos/post_ablate/cam5/12_19_25/5B-rat2/2025-12-19_15_41_53_camcommerb5/postablate_cam5_12_19_25_5B-rat2_2025-12-19_15_41_53_camcommerb5.csv</t>
  </si>
  <si>
    <t>post_ablate/cam5/12_19_25/5B-rat2/2025-12-19_15_41_53_camcommerb5/postablate_cam5_12_19_25_5B-rat2_2025-12-19_15_41_53_camcommerb5.csv</t>
  </si>
  <si>
    <t>postablate_cam5_12_19_25_5B-rat2_2025-12-19_15_41_53_camcommerb5.csv</t>
  </si>
  <si>
    <t>postablate_cam5_12_19_25_5B-rat2_2025-12-19_15_41_53_camcommerb5</t>
  </si>
  <si>
    <t>/zfsgpu3/storage/lrn_project/josh_project/josh_lrn-gtk-2025-12-05/experimental_videos/post_ablate/cam5/12_19_25/5B-rat6/2025-12-19_15_23_25_camcommerb5/postablate_cam5_12_19_25_5B-rat6_2025-12-19_15_23_25_camcommerb5.csv</t>
  </si>
  <si>
    <t>post_ablate/cam5/12_19_25/5B-rat6/2025-12-19_15_23_25_camcommerb5/postablate_cam5_12_19_25_5B-rat6_2025-12-19_15_23_25_camcommerb5.csv</t>
  </si>
  <si>
    <t>postablate_cam5_12_19_25_5B-rat6_2025-12-19_15_23_25_camcommerb5.csv</t>
  </si>
  <si>
    <t>postablate_cam5_12_19_25_5B-rat6_2025-12-19_15_23_25_camcommerb5</t>
  </si>
  <si>
    <t>/zfsgpu3/storage/lrn_project/josh_project/josh_lrn-gtk-2025-12-05/experimental_videos/post_ablate/cam5/12_19_25/5B-rat6/2025-12-19_15_24_35_camcommerb5/postablate_cam5_12_19_25_5B-rat6_2025-12-19_15_24_35_camcommerb5.csv</t>
  </si>
  <si>
    <t>post_ablate/cam5/12_19_25/5B-rat6/2025-12-19_15_24_35_camcommerb5/postablate_cam5_12_19_25_5B-rat6_2025-12-19_15_24_35_camcommerb5.csv</t>
  </si>
  <si>
    <t>postablate_cam5_12_19_25_5B-rat6_2025-12-19_15_24_35_camcommerb5.csv</t>
  </si>
  <si>
    <t>postablate_cam5_12_19_25_5B-rat6_2025-12-19_15_24_35_camcommerb5</t>
  </si>
  <si>
    <t>/zfsgpu3/storage/lrn_project/josh_project/josh_lrn-gtk-2025-12-05/experimental_videos/post_ablate/cam5/12_19_25/5B-rat6/2025-12-19_15_26_04_camcommerb5/postablate_cam5_12_19_25_5B-rat6_2025-12-19_15_26_04_camcommerb5.csv</t>
  </si>
  <si>
    <t>post_ablate/cam5/12_19_25/5B-rat6/2025-12-19_15_26_04_camcommerb5/postablate_cam5_12_19_25_5B-rat6_2025-12-19_15_26_04_camcommerb5.csv</t>
  </si>
  <si>
    <t>postablate_cam5_12_19_25_5B-rat6_2025-12-19_15_26_04_camcommerb5.csv</t>
  </si>
  <si>
    <t>postablate_cam5_12_19_25_5B-rat6_2025-12-19_15_26_04_camcommerb5</t>
  </si>
  <si>
    <t>/zfsgpu3/storage/lrn_project/josh_project/josh_lrn-gtk-2025-12-05/experimental_videos/post_ablate/cam5/12_19_25/5B-rat6/2025-12-19_15_26_14_camcommerb5/postablate_cam5_12_19_25_5B-rat6_2025-12-19_15_26_14_camcommerb5.csv</t>
  </si>
  <si>
    <t>post_ablate/cam5/12_19_25/5B-rat6/2025-12-19_15_26_14_camcommerb5/postablate_cam5_12_19_25_5B-rat6_2025-12-19_15_26_14_camcommerb5.csv</t>
  </si>
  <si>
    <t>postablate_cam5_12_19_25_5B-rat6_2025-12-19_15_26_14_camcommerb5.csv</t>
  </si>
  <si>
    <t>postablate_cam5_12_19_25_5B-rat6_2025-12-19_15_26_14_camcommerb5</t>
  </si>
  <si>
    <t>/zfsgpu3/storage/lrn_project/josh_project/josh_lrn-gtk-2025-12-05/experimental_videos/post_ablate/cam5/12_19_25/5B-rat6/2025-12-19_15_27_54_camcommerb5/postablate_cam5_12_19_25_5B-rat6_2025-12-19_15_27_54_camcommerb5.csv</t>
  </si>
  <si>
    <t>post_ablate/cam5/12_19_25/5B-rat6/2025-12-19_15_27_54_camcommerb5/postablate_cam5_12_19_25_5B-rat6_2025-12-19_15_27_54_camcommerb5.csv</t>
  </si>
  <si>
    <t>postablate_cam5_12_19_25_5B-rat6_2025-12-19_15_27_54_camcommerb5.csv</t>
  </si>
  <si>
    <t>postablate_cam5_12_19_25_5B-rat6_2025-12-19_15_27_54_camcommerb5</t>
  </si>
  <si>
    <t>/zfsgpu3/storage/lrn_project/josh_project/josh_lrn-gtk-2025-12-05/experimental_videos/post_ablate/cam5/12_19_25/5B-rat6/2025-12-19_15_28_11_camcommerb5/postablate_cam5_12_19_25_5B-rat6_2025-12-19_15_28_11_camcommerb5.csv</t>
  </si>
  <si>
    <t>post_ablate/cam5/12_19_25/5B-rat6/2025-12-19_15_28_11_camcommerb5/postablate_cam5_12_19_25_5B-rat6_2025-12-19_15_28_11_camcommerb5.csv</t>
  </si>
  <si>
    <t>postablate_cam5_12_19_25_5B-rat6_2025-12-19_15_28_11_camcommerb5.csv</t>
  </si>
  <si>
    <t>postablate_cam5_12_19_25_5B-rat6_2025-12-19_15_28_11_camcommerb5</t>
  </si>
  <si>
    <t>/zfsgpu3/storage/lrn_project/josh_project/josh_lrn-gtk-2025-12-05/experimental_videos/post_ablate/cam5/12_19_25/5B-rat6/2025-12-19_15_28_42_camcommerb5/postablate_cam5_12_19_25_5B-rat6_2025-12-19_15_28_42_camcommerb5.csv</t>
  </si>
  <si>
    <t>post_ablate/cam5/12_19_25/5B-rat6/2025-12-19_15_28_42_camcommerb5/postablate_cam5_12_19_25_5B-rat6_2025-12-19_15_28_42_camcommerb5.csv</t>
  </si>
  <si>
    <t>postablate_cam5_12_19_25_5B-rat6_2025-12-19_15_28_42_camcommerb5.csv</t>
  </si>
  <si>
    <t>postablate_cam5_12_19_25_5B-rat6_2025-12-19_15_28_42_camcommerb5</t>
  </si>
  <si>
    <t>/zfsgpu3/storage/lrn_project/josh_project/josh_lrn-gtk-2025-12-05/experimental_videos/post_ablate/cam5/1_9_26/5A-rat3/2026-01-09_14_08_35_camcommerb5/postablate_cam5_1_9_26_5A-rat3_2026-01-09_14_08_35_camcommerb5.csv</t>
  </si>
  <si>
    <t>post_ablate/cam5/1_9_26/5A-rat3/2026-01-09_14_08_35_camcommerb5/postablate_cam5_1_9_26_5A-rat3_2026-01-09_14_08_35_camcommerb5.csv</t>
  </si>
  <si>
    <t>postablate_cam5_1_9_26_5A-rat3_2026-01-09_14_08_35_camcommerb5.csv</t>
  </si>
  <si>
    <t>postablate_cam5_1_9_26_5A-rat3_2026-01-09_14_08_35_camcommerb5</t>
  </si>
  <si>
    <t>/zfsgpu3/storage/lrn_project/josh_project/josh_lrn-gtk-2025-12-05/experimental_videos/post_ablate/cam5/1_9_26/5A-rat3/2026-01-09_14_08_56_camcommerb5/postablate_cam5_1_9_26_5A-rat3_2026-01-09_14_08_56_camcommerb5.csv</t>
  </si>
  <si>
    <t>post_ablate/cam5/1_9_26/5A-rat3/2026-01-09_14_08_56_camcommerb5/postablate_cam5_1_9_26_5A-rat3_2026-01-09_14_08_56_camcommerb5.csv</t>
  </si>
  <si>
    <t>postablate_cam5_1_9_26_5A-rat3_2026-01-09_14_08_56_camcommerb5.csv</t>
  </si>
  <si>
    <t>postablate_cam5_1_9_26_5A-rat3_2026-01-09_14_08_56_camcommerb5</t>
  </si>
  <si>
    <t>/zfsgpu3/storage/lrn_project/josh_project/josh_lrn-gtk-2025-12-05/experimental_videos/post_ablate/cam5/1_9_26/5A-rat3/2026-01-09_14_09_12_camcommerb5/postablate_cam5_1_9_26_5A-rat3_2026-01-09_14_09_12_camcommerb5.csv</t>
  </si>
  <si>
    <t>post_ablate/cam5/1_9_26/5A-rat3/2026-01-09_14_09_12_camcommerb5/postablate_cam5_1_9_26_5A-rat3_2026-01-09_14_09_12_camcommerb5.csv</t>
  </si>
  <si>
    <t>postablate_cam5_1_9_26_5A-rat3_2026-01-09_14_09_12_camcommerb5.csv</t>
  </si>
  <si>
    <t>postablate_cam5_1_9_26_5A-rat3_2026-01-09_14_09_12_camcommerb5</t>
  </si>
  <si>
    <t>/zfsgpu3/storage/lrn_project/josh_project/josh_lrn-gtk-2025-12-05/experimental_videos/post_ablate/cam5/1_9_26/5A-rat3/2026-01-09_14_11_16_camcommerb5/postablate_cam5_1_9_26_5A-rat3_2026-01-09_14_11_16_camcommerb5.csv</t>
  </si>
  <si>
    <t>post_ablate/cam5/1_9_26/5A-rat3/2026-01-09_14_11_16_camcommerb5/postablate_cam5_1_9_26_5A-rat3_2026-01-09_14_11_16_camcommerb5.csv</t>
  </si>
  <si>
    <t>postablate_cam5_1_9_26_5A-rat3_2026-01-09_14_11_16_camcommerb5.csv</t>
  </si>
  <si>
    <t>postablate_cam5_1_9_26_5A-rat3_2026-01-09_14_11_16_camcommerb5</t>
  </si>
  <si>
    <t>/zfsgpu3/storage/lrn_project/josh_project/josh_lrn-gtk-2025-12-05/experimental_videos/post_ablate/cam5/1_9_26/5A-rat3/2026-01-09_14_13_27_camcommerb5/postablate_cam5_1_9_26_5A-rat3_2026-01-09_14_13_27_camcommerb5.csv</t>
  </si>
  <si>
    <t>post_ablate/cam5/1_9_26/5A-rat3/2026-01-09_14_13_27_camcommerb5/postablate_cam5_1_9_26_5A-rat3_2026-01-09_14_13_27_camcommerb5.csv</t>
  </si>
  <si>
    <t>postablate_cam5_1_9_26_5A-rat3_2026-01-09_14_13_27_camcommerb5.csv</t>
  </si>
  <si>
    <t>postablate_cam5_1_9_26_5A-rat3_2026-01-09_14_13_27_camcommerb5</t>
  </si>
  <si>
    <t>/zfsgpu3/storage/lrn_project/josh_project/josh_lrn-gtk-2025-12-05/experimental_videos/11_26_25/Cohort_5B/11_26_25/cam5-5B/rat6/2025-11-26_13_39_44_camcommerb5/Cohort_5B_cam5_rat6_2025-11-26_13_39_44.csv</t>
  </si>
  <si>
    <t>11_26_25/Cohort_5B/11_26_25/cam5-5B/rat6/2025-11-26_13_39_44_camcommerb5/Cohort_5B_cam5_rat6_2025-11-26_13_39_44.csv</t>
  </si>
  <si>
    <t>Cohort_5B_cam5_rat6_2025-11-26_13_39_44.csv</t>
  </si>
  <si>
    <t>Cohort_5B_cam5_rat6_2025-11-26_13_39_44</t>
  </si>
  <si>
    <t>/zfsgpu3/storage/lrn_project/josh_project/josh_lrn-gtk-2025-12-05/experimental_videos/11_26_25/Cohort_5B/11_26_25/cam5-5B/rat6/2025-11-26_13_39_35_camcommerb5/Cohort_5B_cam5_rat6_2025-11-26_13_39_35.csv</t>
  </si>
  <si>
    <t>11_26_25/Cohort_5B/11_26_25/cam5-5B/rat6/2025-11-26_13_39_35_camcommerb5/Cohort_5B_cam5_rat6_2025-11-26_13_39_35.csv</t>
  </si>
  <si>
    <t>Cohort_5B_cam5_rat6_2025-11-26_13_39_35.csv</t>
  </si>
  <si>
    <t>Cohort_5B_cam5_rat6_2025-11-26_13_39_35</t>
  </si>
  <si>
    <t>/zfsgpu3/storage/lrn_project/josh_project/josh_lrn-gtk-2025-12-05/experimental_videos/11_26_25/Cohort_5B/11_26_25/cam5-5B/rat6/2025-11-26_13_38_45_camcommerb5/Cohort_5B_cam5_rat6_2025-11-26_13_38_45.csv</t>
  </si>
  <si>
    <t>11_26_25/Cohort_5B/11_26_25/cam5-5B/rat6/2025-11-26_13_38_45_camcommerb5/Cohort_5B_cam5_rat6_2025-11-26_13_38_45.csv</t>
  </si>
  <si>
    <t>Cohort_5B_cam5_rat6_2025-11-26_13_38_45.csv</t>
  </si>
  <si>
    <t>Cohort_5B_cam5_rat6_2025-11-26_13_38_45</t>
  </si>
  <si>
    <t>/zfsgpu3/storage/lrn_project/josh_project/josh_lrn-gtk-2025-12-05/experimental_videos/11_26_25/Cohort_5B/11_26_25/cam5-5B/rat6/2025-11-26_13_38_09_camcommerb5/Cohort_5B_cam5_rat6_2025-11-26_13_38_09.csv</t>
  </si>
  <si>
    <t>11_26_25/Cohort_5B/11_26_25/cam5-5B/rat6/2025-11-26_13_38_09_camcommerb5/Cohort_5B_cam5_rat6_2025-11-26_13_38_09.csv</t>
  </si>
  <si>
    <t>Cohort_5B_cam5_rat6_2025-11-26_13_38_09.csv</t>
  </si>
  <si>
    <t>Cohort_5B_cam5_rat6_2025-11-26_13_38_09</t>
  </si>
  <si>
    <t>/zfsgpu3/storage/lrn_project/josh_project/josh_lrn-gtk-2025-12-05/experimental_videos/11_26_25/Cohort_5B/11_26_25/cam5-5B/rat6/2025-11-26_13_37_59_camcommerb5/Cohort_5B_cam5_rat6_2025-11-26_13_37_59.csv</t>
  </si>
  <si>
    <t>11_26_25/Cohort_5B/11_26_25/cam5-5B/rat6/2025-11-26_13_37_59_camcommerb5/Cohort_5B_cam5_rat6_2025-11-26_13_37_59.csv</t>
  </si>
  <si>
    <t>Cohort_5B_cam5_rat6_2025-11-26_13_37_59.csv</t>
  </si>
  <si>
    <t>Cohort_5B_cam5_rat6_2025-11-26_13_37_59</t>
  </si>
  <si>
    <t>/zfsgpu3/storage/lrn_project/josh_project/josh_lrn-gtk-2025-12-05/experimental_videos/11_26_25/Cohort_5B/11_26_25/cam5-5B/rat6/2025-11-26_13_37_33_camcommerb5/Cohort_5B_cam5_rat6_2025-11-26_13_37_33.csv</t>
  </si>
  <si>
    <t>11_26_25/Cohort_5B/11_26_25/cam5-5B/rat6/2025-11-26_13_37_33_camcommerb5/Cohort_5B_cam5_rat6_2025-11-26_13_37_33.csv</t>
  </si>
  <si>
    <t>Cohort_5B_cam5_rat6_2025-11-26_13_37_33.csv</t>
  </si>
  <si>
    <t>Cohort_5B_cam5_rat6_2025-11-26_13_37_33</t>
  </si>
  <si>
    <t>/zfsgpu3/storage/lrn_project/josh_project/josh_lrn-gtk-2025-12-05/experimental_videos/11_26_25/Cohort_5B/11_26_25/cam5-5B/rat6/2025-11-26_13_37_22_camcommerb5/Cohort_5B_cam5_rat6_2025-11-26_13_37_22.csv</t>
  </si>
  <si>
    <t>11_26_25/Cohort_5B/11_26_25/cam5-5B/rat6/2025-11-26_13_37_22_camcommerb5/Cohort_5B_cam5_rat6_2025-11-26_13_37_22.csv</t>
  </si>
  <si>
    <t>Cohort_5B_cam5_rat6_2025-11-26_13_37_22.csv</t>
  </si>
  <si>
    <t>Cohort_5B_cam5_rat6_2025-11-26_13_37_22</t>
  </si>
  <si>
    <t>/zfsgpu3/storage/lrn_project/josh_project/josh_lrn-gtk-2025-12-05/experimental_videos/11_26_25/Cohort_5B/11_26_25/cam5-5B/rat6/2025-11-26_13_40_57_camcommerb5/Cohort_5B_cam5_rat6_2025-11-26_13_40_57.csv</t>
  </si>
  <si>
    <t>11_26_25/Cohort_5B/11_26_25/cam5-5B/rat6/2025-11-26_13_40_57_camcommerb5/Cohort_5B_cam5_rat6_2025-11-26_13_40_57.csv</t>
  </si>
  <si>
    <t>Cohort_5B_cam5_rat6_2025-11-26_13_40_57.csv</t>
  </si>
  <si>
    <t>Cohort_5B_cam5_rat6_2025-11-26_13_40_57</t>
  </si>
  <si>
    <t>/zfsgpu3/storage/lrn_project/josh_project/josh_lrn-gtk-2025-12-05/experimental_videos/11_26_25/Cohort_5B/11_26_25/cam5-5B/rat6/2025-11-26_13_33_02_camcommerb5/Cohort_5B_cam5_rat6_2025-11-26_13_33_02.csv</t>
  </si>
  <si>
    <t>11_26_25/Cohort_5B/11_26_25/cam5-5B/rat6/2025-11-26_13_33_02_camcommerb5/Cohort_5B_cam5_rat6_2025-11-26_13_33_02.csv</t>
  </si>
  <si>
    <t>Cohort_5B_cam5_rat6_2025-11-26_13_33_02.csv</t>
  </si>
  <si>
    <t>Cohort_5B_cam5_rat6_2025-11-26_13_33_02</t>
  </si>
  <si>
    <t>/zfsgpu3/storage/lrn_project/josh_project/josh_lrn-gtk-2025-12-05/experimental_videos/11_26_25/Cohort_5B/11_26_25/cam5-5B/rat6/2025-11-26_13_32_50_camcommerb5/Cohort_5B_cam5_rat6_2025-11-26_13_32_50.csv</t>
  </si>
  <si>
    <t>11_26_25/Cohort_5B/11_26_25/cam5-5B/rat6/2025-11-26_13_32_50_camcommerb5/Cohort_5B_cam5_rat6_2025-11-26_13_32_50.csv</t>
  </si>
  <si>
    <t>Cohort_5B_cam5_rat6_2025-11-26_13_32_50.csv</t>
  </si>
  <si>
    <t>Cohort_5B_cam5_rat6_2025-11-26_13_32_50</t>
  </si>
  <si>
    <t>/zfsgpu3/storage/lrn_project/josh_project/josh_lrn-gtk-2025-12-05/experimental_videos/11_26_25/Cohort_5B/11_26_25/cam5-5B/rat5/2025-11-26_13_21_09_camcommerb5/Cohort_5B_cam5_rat5_2025-11-26_13_21_09.csv</t>
  </si>
  <si>
    <t>11_26_25/Cohort_5B/11_26_25/cam5-5B/rat5/2025-11-26_13_21_09_camcommerb5/Cohort_5B_cam5_rat5_2025-11-26_13_21_09.csv</t>
  </si>
  <si>
    <t>Cohort_5B_cam5_rat5_2025-11-26_13_21_09.csv</t>
  </si>
  <si>
    <t>Cohort_5B_cam5_rat5_2025-11-26_13_21_09</t>
  </si>
  <si>
    <t>/zfsgpu3/storage/lrn_project/josh_project/josh_lrn-gtk-2025-12-05/experimental_videos/11_26_25/Cohort_5B/11_26_25/cam5-5B/rat5/2025-11-26_13_20_56_camcommerb5/Cohort_5B_cam5_rat5_2025-11-26_13_20_56.csv</t>
  </si>
  <si>
    <t>11_26_25/Cohort_5B/11_26_25/cam5-5B/rat5/2025-11-26_13_20_56_camcommerb5/Cohort_5B_cam5_rat5_2025-11-26_13_20_56.csv</t>
  </si>
  <si>
    <t>Cohort_5B_cam5_rat5_2025-11-26_13_20_56.csv</t>
  </si>
  <si>
    <t>Cohort_5B_cam5_rat5_2025-11-26_13_20_56</t>
  </si>
  <si>
    <t>/zfsgpu3/storage/lrn_project/josh_project/josh_lrn-gtk-2025-12-05/experimental_videos/11_26_25/Cohort_5B/11_26_25/cam5-5B/rat6/2025-11-26_13_41_17_camcommerb5/Cohort_5B_cam5_rat6_2025-11-26_13_41_17.csv</t>
  </si>
  <si>
    <t>11_26_25/Cohort_5B/11_26_25/cam5-5B/rat6/2025-11-26_13_41_17_camcommerb5/Cohort_5B_cam5_rat6_2025-11-26_13_41_17.csv</t>
  </si>
  <si>
    <t>Cohort_5B_cam5_rat6_2025-11-26_13_41_17.csv</t>
  </si>
  <si>
    <t>Cohort_5B_cam5_rat6_2025-11-26_13_41_17</t>
  </si>
  <si>
    <t>/zfsgpu3/storage/lrn_project/josh_project/josh_lrn-gtk-2025-12-05/experimental_videos/11_26_25/Cohort_5A/cam5/11_26_25/rat5/2025-11-26_12_13_08_camcommerb5/Cohort_5A_cam5_rat5_2025-11-26_12_13_08.csv</t>
  </si>
  <si>
    <t>11_26_25/Cohort_5A/cam5/11_26_25/rat5/2025-11-26_12_13_08_camcommerb5/Cohort_5A_cam5_rat5_2025-11-26_12_13_08.csv</t>
  </si>
  <si>
    <t>Cohort_5A_cam5_rat5_2025-11-26_12_13_08.csv</t>
  </si>
  <si>
    <t>Cohort_5A_cam5_rat5_2025-11-26_12_13_08</t>
  </si>
  <si>
    <t>/zfsgpu3/storage/lrn_project/josh_project/josh_lrn-gtk-2025-12-05/experimental_videos/11_26_25/Cohort_5A/cam5/11_26_25/rat5/2025-11-26_12_13_30_camcommerb5/Cohort_5A_cam5_rat5_2025-11-26_12_13_30.csv</t>
  </si>
  <si>
    <t>11_26_25/Cohort_5A/cam5/11_26_25/rat5/2025-11-26_12_13_30_camcommerb5/Cohort_5A_cam5_rat5_2025-11-26_12_13_30.csv</t>
  </si>
  <si>
    <t>Cohort_5A_cam5_rat5_2025-11-26_12_13_30.csv</t>
  </si>
  <si>
    <t>Cohort_5A_cam5_rat5_2025-11-26_12_13_30</t>
  </si>
  <si>
    <t>/zfsgpu3/storage/lrn_project/josh_project/josh_lrn-gtk-2025-12-05/experimental_videos/11_26_25/Cohort_5A/cam5/11_26_25/rat5/2025-11-26_12_14_56_camcommerb5/Cohort_5A_cam5_rat5_2025-11-26_12_14_56.csv</t>
  </si>
  <si>
    <t>11_26_25/Cohort_5A/cam5/11_26_25/rat5/2025-11-26_12_14_56_camcommerb5/Cohort_5A_cam5_rat5_2025-11-26_12_14_56.csv</t>
  </si>
  <si>
    <t>Cohort_5A_cam5_rat5_2025-11-26_12_14_56.csv</t>
  </si>
  <si>
    <t>Cohort_5A_cam5_rat5_2025-11-26_12_14_56</t>
  </si>
  <si>
    <t>/zfsgpu3/storage/lrn_project/josh_project/josh_lrn-gtk-2025-12-05/experimental_videos/11_26_25/Cohort_5A/cam5/11_26_25/rat5/2025-11-26_12_15_58_camcommerb5/Cohort_5A_cam5_rat5_2025-11-26_12_15_58.csv</t>
  </si>
  <si>
    <t>11_26_25/Cohort_5A/cam5/11_26_25/rat5/2025-11-26_12_15_58_camcommerb5/Cohort_5A_cam5_rat5_2025-11-26_12_15_58.csv</t>
  </si>
  <si>
    <t>Cohort_5A_cam5_rat5_2025-11-26_12_15_58.csv</t>
  </si>
  <si>
    <t>Cohort_5A_cam5_rat5_2025-11-26_12_15_58</t>
  </si>
  <si>
    <t>/zfsgpu3/storage/lrn_project/josh_project/josh_lrn-gtk-2025-12-05/experimental_videos/11_26_25/Cohort_5A/cam5/11_26_25/rat5/2025-11-26_12_16_25_camcommerb5/Cohort_5A_cam5_rat5_2025-11-26_12_16_25.csv</t>
  </si>
  <si>
    <t>11_26_25/Cohort_5A/cam5/11_26_25/rat5/2025-11-26_12_16_25_camcommerb5/Cohort_5A_cam5_rat5_2025-11-26_12_16_25.csv</t>
  </si>
  <si>
    <t>Cohort_5A_cam5_rat5_2025-11-26_12_16_25.csv</t>
  </si>
  <si>
    <t>Cohort_5A_cam5_rat5_2025-11-26_12_16_25</t>
  </si>
  <si>
    <t>/zfsgpu3/storage/lrn_project/josh_project/josh_lrn-gtk-2025-12-05/experimental_videos/11_26_25/Cohort_5A/cam5/11_26_25/rat5/2025-11-26_12_18_03_camcommerb5/Cohort_5A_cam5_rat5_2025-11-26_12_18_03.csv</t>
  </si>
  <si>
    <t>11_26_25/Cohort_5A/cam5/11_26_25/rat5/2025-11-26_12_18_03_camcommerb5/Cohort_5A_cam5_rat5_2025-11-26_12_18_03.csv</t>
  </si>
  <si>
    <t>Cohort_5A_cam5_rat5_2025-11-26_12_18_03.csv</t>
  </si>
  <si>
    <t>Cohort_5A_cam5_rat5_2025-11-26_12_18_03</t>
  </si>
  <si>
    <t>/zfsgpu3/storage/lrn_project/josh_project/josh_lrn-gtk-2025-12-05/experimental_videos/11_26_25/Cohort_5A/cam5/11_26_25/rat5/2025-11-26_12_18_15_camcommerb5/Cohort_5A_cam5_rat5_2025-11-26_12_18_15.csv</t>
  </si>
  <si>
    <t>11_26_25/Cohort_5A/cam5/11_26_25/rat5/2025-11-26_12_18_15_camcommerb5/Cohort_5A_cam5_rat5_2025-11-26_12_18_15.csv</t>
  </si>
  <si>
    <t>Cohort_5A_cam5_rat5_2025-11-26_12_18_15.csv</t>
  </si>
  <si>
    <t>Cohort_5A_cam5_rat5_2025-11-26_12_18_15</t>
  </si>
  <si>
    <t>/zfsgpu3/storage/lrn_project/josh_project/josh_lrn-gtk-2025-12-05/experimental_videos/11_26_25/Cohort_5A/cam5/11_26_25/rat5/2025-11-26_12_18_32_camcommerb5/Cohort_5A_cam5_rat5_2025-11-26_12_18_32.csv</t>
  </si>
  <si>
    <t>11_26_25/Cohort_5A/cam5/11_26_25/rat5/2025-11-26_12_18_32_camcommerb5/Cohort_5A_cam5_rat5_2025-11-26_12_18_32.csv</t>
  </si>
  <si>
    <t>Cohort_5A_cam5_rat5_2025-11-26_12_18_32.csv</t>
  </si>
  <si>
    <t>Cohort_5A_cam5_rat5_2025-11-26_12_18_32</t>
  </si>
  <si>
    <t>/zfsgpu3/storage/lrn_project/josh_project/josh_lrn-gtk-2025-12-05/experimental_videos/11_26_25/Cohort_5A/cam5/11_26_25/rat5/2025-11-26_12_19_53_camcommerb5/Cohort_5A_cam5_rat5_2025-11-26_12_19_53.csv</t>
  </si>
  <si>
    <t>11_26_25/Cohort_5A/cam5/11_26_25/rat5/2025-11-26_12_19_53_camcommerb5/Cohort_5A_cam5_rat5_2025-11-26_12_19_53.csv</t>
  </si>
  <si>
    <t>Cohort_5A_cam5_rat5_2025-11-26_12_19_53.csv</t>
  </si>
  <si>
    <t>Cohort_5A_cam5_rat5_2025-11-26_12_19_53</t>
  </si>
  <si>
    <t>/zfsgpu3/storage/lrn_project/josh_project/josh_lrn-gtk-2025-12-05/experimental_videos/11_26_25/Cohort_5A/cam5/11_26_25/rat5/2025-11-26_12_20_17_camcommerb5/Cohort_5A_cam5_rat5_2025-11-26_12_20_17.csv</t>
  </si>
  <si>
    <t>11_26_25/Cohort_5A/cam5/11_26_25/rat5/2025-11-26_12_20_17_camcommerb5/Cohort_5A_cam5_rat5_2025-11-26_12_20_17.csv</t>
  </si>
  <si>
    <t>Cohort_5A_cam5_rat5_2025-11-26_12_20_17.csv</t>
  </si>
  <si>
    <t>Cohort_5A_cam5_rat5_2025-11-26_12_20_17</t>
  </si>
  <si>
    <t>/zfsgpu3/storage/lrn_project/josh_project/josh_lrn-gtk-2025-12-05/experimental_videos/11_26_25/Cohort_5A/cam5/11_26_25/rat6/2025-11-26_12_23_12_camcommerb5/Cohort_5A_cam5_rat6_2025-11-26_12_23_12.csv</t>
  </si>
  <si>
    <t>11_26_25/Cohort_5A/cam5/11_26_25/rat6/2025-11-26_12_23_12_camcommerb5/Cohort_5A_cam5_rat6_2025-11-26_12_23_12.csv</t>
  </si>
  <si>
    <t>Cohort_5A_cam5_rat6_2025-11-26_12_23_12.csv</t>
  </si>
  <si>
    <t>Cohort_5A_cam5_rat6_2025-11-26_12_23_12</t>
  </si>
  <si>
    <t>/zfsgpu3/storage/lrn_project/josh_project/josh_lrn-gtk-2025-12-05/experimental_videos/11_26_25/Cohort_5A/cam5/11_26_25/rat6/2025-11-26_12_26_51_camcommerb5/Cohort_5A_cam5_rat6_2025-11-26_12_26_51.csv</t>
  </si>
  <si>
    <t>11_26_25/Cohort_5A/cam5/11_26_25/rat6/2025-11-26_12_26_51_camcommerb5/Cohort_5A_cam5_rat6_2025-11-26_12_26_51.csv</t>
  </si>
  <si>
    <t>Cohort_5A_cam5_rat6_2025-11-26_12_26_51.csv</t>
  </si>
  <si>
    <t>Cohort_5A_cam5_rat6_2025-11-26_12_26_51</t>
  </si>
  <si>
    <t>/zfsgpu3/storage/lrn_project/josh_project/josh_lrn-gtk-2025-12-05/experimental_videos/11_26_25/Cohort_5A/cam5/11_26_25/rat6/2025-11-26_12_27_17_camcommerb5/Cohort_5A_cam5_rat6_2025-11-26_12_27_17.csv</t>
  </si>
  <si>
    <t>11_26_25/Cohort_5A/cam5/11_26_25/rat6/2025-11-26_12_27_17_camcommerb5/Cohort_5A_cam5_rat6_2025-11-26_12_27_17.csv</t>
  </si>
  <si>
    <t>Cohort_5A_cam5_rat6_2025-11-26_12_27_17.csv</t>
  </si>
  <si>
    <t>Cohort_5A_cam5_rat6_2025-11-26_12_27_17</t>
  </si>
  <si>
    <t>/zfsgpu3/storage/lrn_project/josh_project/josh_lrn-gtk-2025-12-05/experimental_videos/11_26_25/Cohort_5A/cam5/11_26_25/rat5/2025-11-26_12_12_55_camcommerb5/Cohort_5A_cam5_rat5_2025-11-26_12_12_55.csv</t>
  </si>
  <si>
    <t>11_26_25/Cohort_5A/cam5/11_26_25/rat5/2025-11-26_12_12_55_camcommerb5/Cohort_5A_cam5_rat5_2025-11-26_12_12_55.csv</t>
  </si>
  <si>
    <t>Cohort_5A_cam5_rat5_2025-11-26_12_12_55.csv</t>
  </si>
  <si>
    <t>Cohort_5A_cam5_rat5_2025-11-26_12_12_55</t>
  </si>
  <si>
    <t>/zfsgpu3/storage/lrn_project/josh_project/josh_lrn-gtk-2025-12-05/experimental_videos/11_26_25/Cohort_5B/11_26_25/cam5-5B/rat2/2025-11-26_12_48_07_camcommerb5/Cohort_5B_cam5_rat2_2025-11-26_12_48_07.csv</t>
  </si>
  <si>
    <t>11_26_25/Cohort_5B/11_26_25/cam5-5B/rat2/2025-11-26_12_48_07_camcommerb5/Cohort_5B_cam5_rat2_2025-11-26_12_48_07.csv</t>
  </si>
  <si>
    <t>Cohort_5B_cam5_rat2_2025-11-26_12_48_07.csv</t>
  </si>
  <si>
    <t>Cohort_5B_cam5_rat2_2025-11-26_12_48_07</t>
  </si>
  <si>
    <t>/zfsgpu3/storage/lrn_project/josh_project/josh_lrn-gtk-2025-12-05/experimental_videos/11_26_25/Cohort_5B/11_26_25/cam5-5B/rat2/2025-11-26_12_47_43_camcommerb5/Cohort_5B_cam5_rat2_2025-11-26_12_47_43.csv</t>
  </si>
  <si>
    <t>11_26_25/Cohort_5B/11_26_25/cam5-5B/rat2/2025-11-26_12_47_43_camcommerb5/Cohort_5B_cam5_rat2_2025-11-26_12_47_43.csv</t>
  </si>
  <si>
    <t>Cohort_5B_cam5_rat2_2025-11-26_12_47_43.csv</t>
  </si>
  <si>
    <t>Cohort_5B_cam5_rat2_2025-11-26_12_47_43</t>
  </si>
  <si>
    <t>/zfsgpu3/storage/lrn_project/josh_project/josh_lrn-gtk-2025-12-05/experimental_videos/11_26_25/Cohort_5B/11_26_25/cam5-5B/rat2/2025-11-26_12_47_31_camcommerb5/Cohort_5B_cam5_rat2_2025-11-26_12_47_31.csv</t>
  </si>
  <si>
    <t>11_26_25/Cohort_5B/11_26_25/cam5-5B/rat2/2025-11-26_12_47_31_camcommerb5/Cohort_5B_cam5_rat2_2025-11-26_12_47_31.csv</t>
  </si>
  <si>
    <t>Cohort_5B_cam5_rat2_2025-11-26_12_47_31.csv</t>
  </si>
  <si>
    <t>Cohort_5B_cam5_rat2_2025-11-26_12_47_31</t>
  </si>
  <si>
    <t>/zfsgpu3/storage/lrn_project/josh_project/josh_lrn-gtk-2025-12-05/experimental_videos/11_26_25/Cohort_5B/11_26_25/cam5-5B/rat2/2025-11-26_12_47_18_camcommerb5/Cohort_5B_cam5_rat2_2025-11-26_12_47_18.csv</t>
  </si>
  <si>
    <t>11_26_25/Cohort_5B/11_26_25/cam5-5B/rat2/2025-11-26_12_47_18_camcommerb5/Cohort_5B_cam5_rat2_2025-11-26_12_47_18.csv</t>
  </si>
  <si>
    <t>Cohort_5B_cam5_rat2_2025-11-26_12_47_18.csv</t>
  </si>
  <si>
    <t>Cohort_5B_cam5_rat2_2025-11-26_12_47_18</t>
  </si>
  <si>
    <t>/zfsgpu3/storage/lrn_project/josh_project/josh_lrn-gtk-2025-12-05/experimental_videos/11_26_25/Cohort_5B/11_26_25/cam5-5B/rat2/2025-11-26_12_46_50_camcommerb5/Cohort_5B_cam5_rat2_2025-11-26_12_46_50.csv</t>
  </si>
  <si>
    <t>11_26_25/Cohort_5B/11_26_25/cam5-5B/rat2/2025-11-26_12_46_50_camcommerb5/Cohort_5B_cam5_rat2_2025-11-26_12_46_50.csv</t>
  </si>
  <si>
    <t>Cohort_5B_cam5_rat2_2025-11-26_12_46_50.csv</t>
  </si>
  <si>
    <t>Cohort_5B_cam5_rat2_2025-11-26_12_46_50</t>
  </si>
  <si>
    <t>/zfsgpu3/storage/lrn_project/josh_project/josh_lrn-gtk-2025-12-05/experimental_videos/11_26_25/Cohort_5B/11_26_25/cam5-5B/rat2/2025-11-26_12_48_24_camcommerb5/Cohort_5B_cam5_rat2_2025-11-26_12_48_24.csv</t>
  </si>
  <si>
    <t>11_26_25/Cohort_5B/11_26_25/cam5-5B/rat2/2025-11-26_12_48_24_camcommerb5/Cohort_5B_cam5_rat2_2025-11-26_12_48_24.csv</t>
  </si>
  <si>
    <t>Cohort_5B_cam5_rat2_2025-11-26_12_48_24.csv</t>
  </si>
  <si>
    <t>Cohort_5B_cam5_rat2_2025-11-26_12_48_24</t>
  </si>
  <si>
    <t>/zfsgpu3/storage/lrn_project/josh_project/josh_lrn-gtk-2025-12-05/experimental_videos/11_26_25/Cohort_5B/11_26_25/cam5-5B/rat5/2025-11-26_13_17_59_camcommerb5/Cohort_5B_cam5_rat5_2025-11-26_13_17_59.csv</t>
  </si>
  <si>
    <t>11_26_25/Cohort_5B/11_26_25/cam5-5B/rat5/2025-11-26_13_17_59_camcommerb5/Cohort_5B_cam5_rat5_2025-11-26_13_17_59.csv</t>
  </si>
  <si>
    <t>Cohort_5B_cam5_rat5_2025-11-26_13_17_59.csv</t>
  </si>
  <si>
    <t>Cohort_5B_cam5_rat5_2025-11-26_13_17_59</t>
  </si>
  <si>
    <t>/zfsgpu3/storage/lrn_project/josh_project/josh_lrn-gtk-2025-12-05/experimental_videos/11_26_25/Cohort_5B/11_26_25/cam5-5B/rat5/2025-11-26_13_16_46_camcommerb5/Cohort_5B_cam5_rat5_2025-11-26_13_16_46.csv</t>
  </si>
  <si>
    <t>11_26_25/Cohort_5B/11_26_25/cam5-5B/rat5/2025-11-26_13_16_46_camcommerb5/Cohort_5B_cam5_rat5_2025-11-26_13_16_46.csv</t>
  </si>
  <si>
    <t>Cohort_5B_cam5_rat5_2025-11-26_13_16_46.csv</t>
  </si>
  <si>
    <t>Cohort_5B_cam5_rat5_2025-11-26_13_16_46</t>
  </si>
  <si>
    <t>/zfsgpu3/storage/lrn_project/josh_project/josh_lrn-gtk-2025-12-05/experimental_videos/11_26_25/Cohort_5B/11_26_25/cam5-5B/rat5/2025-11-26_13_16_13_camcommerb5/Cohort_5B_cam5_rat5_2025-11-26_13_16_13.csv</t>
  </si>
  <si>
    <t>11_26_25/Cohort_5B/11_26_25/cam5-5B/rat5/2025-11-26_13_16_13_camcommerb5/Cohort_5B_cam5_rat5_2025-11-26_13_16_13.csv</t>
  </si>
  <si>
    <t>Cohort_5B_cam5_rat5_2025-11-26_13_16_13.csv</t>
  </si>
  <si>
    <t>Cohort_5B_cam5_rat5_2025-11-26_13_16_13</t>
  </si>
  <si>
    <t>/zfsgpu3/storage/lrn_project/josh_project/josh_lrn-gtk-2025-12-05/experimental_videos/11_26_25/Cohort_5B/11_26_25/cam5-5B/rat3/2025-11-26_13_01_13_camcommerb5/Cohort_5B_cam5_rat3_2025-11-26_13_01_13.csv</t>
  </si>
  <si>
    <t>11_26_25/Cohort_5B/11_26_25/cam5-5B/rat3/2025-11-26_13_01_13_camcommerb5/Cohort_5B_cam5_rat3_2025-11-26_13_01_13.csv</t>
  </si>
  <si>
    <t>Cohort_5B_cam5_rat3_2025-11-26_13_01_13.csv</t>
  </si>
  <si>
    <t>Cohort_5B_cam5_rat3_2025-11-26_13_01_13</t>
  </si>
  <si>
    <t>/zfsgpu3/storage/lrn_project/josh_project/josh_lrn-gtk-2025-12-05/experimental_videos/11_26_25/Cohort_5B/11_26_25/cam5-5B/rat3/2025-11-26_12_59_09_camcommerb5/Cohort_5B_cam5_rat3_2025-11-26_12_59_09.csv</t>
  </si>
  <si>
    <t>11_26_25/Cohort_5B/11_26_25/cam5-5B/rat3/2025-11-26_12_59_09_camcommerb5/Cohort_5B_cam5_rat3_2025-11-26_12_59_09.csv</t>
  </si>
  <si>
    <t>Cohort_5B_cam5_rat3_2025-11-26_12_59_09.csv</t>
  </si>
  <si>
    <t>Cohort_5B_cam5_rat3_2025-11-26_12_59_09</t>
  </si>
  <si>
    <t>/zfsgpu3/storage/lrn_project/josh_project/josh_lrn-gtk-2025-12-05/experimental_videos/11_26_25/Cohort_5B/11_26_25/cam5-5B/rat2/2025-11-26_12_53_54_camcommerb5/Cohort_5B_cam5_rat2_2025-11-26_12_53_54.csv</t>
  </si>
  <si>
    <t>11_26_25/Cohort_5B/11_26_25/cam5-5B/rat2/2025-11-26_12_53_54_camcommerb5/Cohort_5B_cam5_rat2_2025-11-26_12_53_54.csv</t>
  </si>
  <si>
    <t>Cohort_5B_cam5_rat2_2025-11-26_12_53_54.csv</t>
  </si>
  <si>
    <t>Cohort_5B_cam5_rat2_2025-11-26_12_53_54</t>
  </si>
  <si>
    <t>/zfsgpu3/storage/lrn_project/josh_project/josh_lrn-gtk-2025-12-05/experimental_videos/11_26_25/Cohort_5B/11_26_25/cam5-5B/rat2/2025-11-26_12_53_11_camcommerb5/Cohort_5B_cam5_rat2_2025-11-26_12_53_11.csv</t>
  </si>
  <si>
    <t>11_26_25/Cohort_5B/11_26_25/cam5-5B/rat2/2025-11-26_12_53_11_camcommerb5/Cohort_5B_cam5_rat2_2025-11-26_12_53_11.csv</t>
  </si>
  <si>
    <t>Cohort_5B_cam5_rat2_2025-11-26_12_53_11.csv</t>
  </si>
  <si>
    <t>Cohort_5B_cam5_rat2_2025-11-26_12_53_11</t>
  </si>
  <si>
    <t>/zfsgpu3/storage/lrn_project/josh_project/josh_lrn-gtk-2025-12-05/experimental_videos/11_26_25/Cohort_5B/11_26_25/cam5-5B/rat2/2025-11-26_12_52_43_camcommerb5/Cohort_5B_cam5_rat2_2025-11-26_12_52_43.csv</t>
  </si>
  <si>
    <t>11_26_25/Cohort_5B/11_26_25/cam5-5B/rat2/2025-11-26_12_52_43_camcommerb5/Cohort_5B_cam5_rat2_2025-11-26_12_52_43.csv</t>
  </si>
  <si>
    <t>Cohort_5B_cam5_rat2_2025-11-26_12_52_43.csv</t>
  </si>
  <si>
    <t>Cohort_5B_cam5_rat2_2025-11-26_12_52_43</t>
  </si>
  <si>
    <t>/zfsgpu3/storage/lrn_project/josh_project/josh_lrn-gtk-2025-12-05/experimental_videos/11_26_25/Cohort_5B/11_26_25/cam5-5B/rat2/2025-11-26_12_52_30_camcommerb5/Cohort_5B_cam5_rat2_2025-11-26_12_52_30.csv</t>
  </si>
  <si>
    <t>11_26_25/Cohort_5B/11_26_25/cam5-5B/rat2/2025-11-26_12_52_30_camcommerb5/Cohort_5B_cam5_rat2_2025-11-26_12_52_30.csv</t>
  </si>
  <si>
    <t>Cohort_5B_cam5_rat2_2025-11-26_12_52_30.csv</t>
  </si>
  <si>
    <t>Cohort_5B_cam5_rat2_2025-11-26_12_52_30</t>
  </si>
  <si>
    <t>/zfsgpu3/storage/lrn_project/josh_project/josh_lrn-gtk-2025-12-05/experimental_videos/11_26_25/Cohort_5B/11_26_25/cam5-5B/rat2/2025-11-26_12_51_39_camcommerb5/Cohort_5B_cam5_rat2_2025-11-26_12_51_39.csv</t>
  </si>
  <si>
    <t>11_26_25/Cohort_5B/11_26_25/cam5-5B/rat2/2025-11-26_12_51_39_camcommerb5/Cohort_5B_cam5_rat2_2025-11-26_12_51_39.csv</t>
  </si>
  <si>
    <t>Cohort_5B_cam5_rat2_2025-11-26_12_51_39.csv</t>
  </si>
  <si>
    <t>Cohort_5B_cam5_rat2_2025-11-26_12_51_39</t>
  </si>
  <si>
    <t>/zfsgpu3/storage/lrn_project/josh_project/josh_lrn-gtk-2025-12-05/experimental_videos/11_26_25/Cohort_5B/11_26_25/cam5-5B/rat2/2025-11-26_12_51_22_camcommerb5/Cohort_5B_cam5_rat2_2025-11-26_12_51_22.csv</t>
  </si>
  <si>
    <t>11_26_25/Cohort_5B/11_26_25/cam5-5B/rat2/2025-11-26_12_51_22_camcommerb5/Cohort_5B_cam5_rat2_2025-11-26_12_51_22.csv</t>
  </si>
  <si>
    <t>Cohort_5B_cam5_rat2_2025-11-26_12_51_22.csv</t>
  </si>
  <si>
    <t>Cohort_5B_cam5_rat2_2025-11-26_12_51_22</t>
  </si>
  <si>
    <t>/zfsgpu3/storage/lrn_project/josh_project/josh_lrn-gtk-2025-12-05/experimental_videos/11_26_25/Cohort_5B/11_26_25/cam5-5B/rat2/2025-11-26_12_51_03_camcommerb5/Cohort_5B_cam5_rat2_2025-11-26_12_51_03.csv</t>
  </si>
  <si>
    <t>11_26_25/Cohort_5B/11_26_25/cam5-5B/rat2/2025-11-26_12_51_03_camcommerb5/Cohort_5B_cam5_rat2_2025-11-26_12_51_03.csv</t>
  </si>
  <si>
    <t>Cohort_5B_cam5_rat2_2025-11-26_12_51_03.csv</t>
  </si>
  <si>
    <t>Cohort_5B_cam5_rat2_2025-11-26_12_51_03</t>
  </si>
  <si>
    <t>/zfsgpu3/storage/lrn_project/josh_project/josh_lrn-gtk-2025-12-05/experimental_videos/11_26_25/Cohort_5B/11_26_25/cam5-5B/rat2/2025-11-26_12_50_32_camcommerb5/Cohort_5B_cam5_rat2_2025-11-26_12_50_32.csv</t>
  </si>
  <si>
    <t>11_26_25/Cohort_5B/11_26_25/cam5-5B/rat2/2025-11-26_12_50_32_camcommerb5/Cohort_5B_cam5_rat2_2025-11-26_12_50_32.csv</t>
  </si>
  <si>
    <t>Cohort_5B_cam5_rat2_2025-11-26_12_50_32.csv</t>
  </si>
  <si>
    <t>Cohort_5B_cam5_rat2_2025-11-26_12_50_32</t>
  </si>
  <si>
    <t>/zfsgpu3/storage/lrn_project/josh_project/josh_lrn-gtk-2025-12-05/experimental_videos/11_26_25/Cohort_5B/11_26_25/cam5-5B/rat2/2025-11-26_12_50_19_camcommerb5/Cohort_5B_cam5_rat2_2025-11-26_12_50_19.csv</t>
  </si>
  <si>
    <t>11_26_25/Cohort_5B/11_26_25/cam5-5B/rat2/2025-11-26_12_50_19_camcommerb5/Cohort_5B_cam5_rat2_2025-11-26_12_50_19.csv</t>
  </si>
  <si>
    <t>Cohort_5B_cam5_rat2_2025-11-26_12_50_19.csv</t>
  </si>
  <si>
    <t>Cohort_5B_cam5_rat2_2025-11-26_12_50_19</t>
  </si>
  <si>
    <t>/zfsgpu3/storage/lrn_project/josh_project/josh_lrn-gtk-2025-12-05/experimental_videos/11_26_25/Cohort_5B/11_26_25/cam5-5B/rat2/2025-11-26_12_49_59_camcommerb5/Cohort_5B_cam5_rat2_2025-11-26_12_49_59.csv</t>
  </si>
  <si>
    <t>11_26_25/Cohort_5B/11_26_25/cam5-5B/rat2/2025-11-26_12_49_59_camcommerb5/Cohort_5B_cam5_rat2_2025-11-26_12_49_59.csv</t>
  </si>
  <si>
    <t>Cohort_5B_cam5_rat2_2025-11-26_12_49_59.csv</t>
  </si>
  <si>
    <t>Cohort_5B_cam5_rat2_2025-11-26_12_49_59</t>
  </si>
  <si>
    <t>/zfsgpu3/storage/lrn_project/josh_project/josh_lrn-gtk-2025-12-05/experimental_videos/11_26_25/Cohort_5B/11_26_25/cam5-5B/rat2/2025-11-26_12_49_47_camcommerb5/Cohort_5B_cam5_rat2_2025-11-26_12_49_47.csv</t>
  </si>
  <si>
    <t>11_26_25/Cohort_5B/11_26_25/cam5-5B/rat2/2025-11-26_12_49_47_camcommerb5/Cohort_5B_cam5_rat2_2025-11-26_12_49_47.csv</t>
  </si>
  <si>
    <t>Cohort_5B_cam5_rat2_2025-11-26_12_49_47.csv</t>
  </si>
  <si>
    <t>Cohort_5B_cam5_rat2_2025-11-26_12_49_47</t>
  </si>
  <si>
    <t>/zfsgpu3/storage/lrn_project/josh_project/josh_lrn-gtk-2025-12-05/experimental_videos/11_26_25/Cohort_5B/11_26_25/cam5-5B/rat2/2025-11-26_12_49_38_camcommerb5/Cohort_5B_cam5_rat2_2025-11-26_12_49_38.csv</t>
  </si>
  <si>
    <t>11_26_25/Cohort_5B/11_26_25/cam5-5B/rat2/2025-11-26_12_49_38_camcommerb5/Cohort_5B_cam5_rat2_2025-11-26_12_49_38.csv</t>
  </si>
  <si>
    <t>Cohort_5B_cam5_rat2_2025-11-26_12_49_38.csv</t>
  </si>
  <si>
    <t>Cohort_5B_cam5_rat2_2025-11-26_12_49_38</t>
  </si>
  <si>
    <t>/zfsgpu3/storage/lrn_project/josh_project/josh_lrn-gtk-2025-12-05/experimental_videos/11_26_25/Cohort_5B/11_26_25/cam5-5B/rat5/2025-11-26_13_19_22_camcommerb5/Cohort_5B_cam5_rat5_2025-11-26_13_19_22.csv</t>
  </si>
  <si>
    <t>11_26_25/Cohort_5B/11_26_25/cam5-5B/rat5/2025-11-26_13_19_22_camcommerb5/Cohort_5B_cam5_rat5_2025-11-26_13_19_22.csv</t>
  </si>
  <si>
    <t>Cohort_5B_cam5_rat5_2025-11-26_13_19_22.csv</t>
  </si>
  <si>
    <t>Cohort_5B_cam5_rat5_2025-11-26_13_19_22</t>
  </si>
  <si>
    <t>/zfsgpu3/storage/lrn_project/josh_project/josh_lrn-gtk-2025-12-05/experimental_videos/11_26_25/Cohort_5A/cam5/11_26_25/rat5/2025-11-26_12_12_27_camcommerb5/Cohort_5A_cam5_rat5_2025-11-26_12_12_27.csv</t>
  </si>
  <si>
    <t>11_26_25/Cohort_5A/cam5/11_26_25/rat5/2025-11-26_12_12_27_camcommerb5/Cohort_5A_cam5_rat5_2025-11-26_12_12_27.csv</t>
  </si>
  <si>
    <t>Cohort_5A_cam5_rat5_2025-11-26_12_12_27.csv</t>
  </si>
  <si>
    <t>Cohort_5A_cam5_rat5_2025-11-26_12_12_27</t>
  </si>
  <si>
    <t>/zfsgpu3/storage/lrn_project/josh_project/josh_lrn-gtk-2025-12-05/experimental_videos/01_16_26/cam5/5A-5/2026-01-16_15_47_38_camcommerb5/postablate_cam5_5A-5_2026-01-16_15_47_38_camcommerb5.csv</t>
  </si>
  <si>
    <t>01_16_26/cam5/5A-5/2026-01-16_15_47_38_camcommerb5/postablate_cam5_5A-5_2026-01-16_15_47_38_camcommerb5.csv</t>
  </si>
  <si>
    <t>postablate_cam5_5A-5_2026-01-16_15_47_38_camcommerb5.csv</t>
  </si>
  <si>
    <t>postablate_cam5_5A-5_2026-01-16_15_47_38_camcommerb5</t>
  </si>
  <si>
    <t>/zfsgpu3/storage/lrn_project/josh_project/josh_lrn-gtk-2025-12-05/experimental_videos/01_16_26/cam5/5A-5/2026-01-16_15_47_49_camcommerb5/postablate_cam5_5A-5_2026-01-16_15_47_49_camcommerb5.csv</t>
  </si>
  <si>
    <t>01_16_26/cam5/5A-5/2026-01-16_15_47_49_camcommerb5/postablate_cam5_5A-5_2026-01-16_15_47_49_camcommerb5.csv</t>
  </si>
  <si>
    <t>postablate_cam5_5A-5_2026-01-16_15_47_49_camcommerb5.csv</t>
  </si>
  <si>
    <t>postablate_cam5_5A-5_2026-01-16_15_47_49_camcommerb5</t>
  </si>
  <si>
    <t>/zfsgpu3/storage/lrn_project/josh_project/josh_lrn-gtk-2025-12-05/experimental_videos/01_16_26/cam5/5A-5/2026-01-16_15_48_19_camcommerb5/postablate_cam5_5A-5_2026-01-16_15_48_19_camcommerb5.csv</t>
  </si>
  <si>
    <t>01_16_26/cam5/5A-5/2026-01-16_15_48_19_camcommerb5/postablate_cam5_5A-5_2026-01-16_15_48_19_camcommerb5.csv</t>
  </si>
  <si>
    <t>postablate_cam5_5A-5_2026-01-16_15_48_19_camcommerb5.csv</t>
  </si>
  <si>
    <t>postablate_cam5_5A-5_2026-01-16_15_48_19_camcommerb5</t>
  </si>
  <si>
    <t>/zfsgpu3/storage/lrn_project/josh_project/josh_lrn-gtk-2025-12-05/experimental_videos/01_16_26/cam5/5A-5/2026-01-16_15_48_30_camcommerb5/postablate_cam5_5A-5_2026-01-16_15_48_30_camcommerb5.csv</t>
  </si>
  <si>
    <t>01_16_26/cam5/5A-5/2026-01-16_15_48_30_camcommerb5/postablate_cam5_5A-5_2026-01-16_15_48_30_camcommerb5.csv</t>
  </si>
  <si>
    <t>postablate_cam5_5A-5_2026-01-16_15_48_30_camcommerb5.csv</t>
  </si>
  <si>
    <t>postablate_cam5_5A-5_2026-01-16_15_48_30_camcommerb5</t>
  </si>
  <si>
    <t>/zfsgpu3/storage/lrn_project/josh_project/josh_lrn-gtk-2025-12-05/experimental_videos/01_16_26/cam5/5A-5/2026-01-16_15_49_09_camcommerb5/postablate_cam5_5A-5_2026-01-16_15_49_09_camcommerb5.csv</t>
  </si>
  <si>
    <t>01_16_26/cam5/5A-5/2026-01-16_15_49_09_camcommerb5/postablate_cam5_5A-5_2026-01-16_15_49_09_camcommerb5.csv</t>
  </si>
  <si>
    <t>postablate_cam5_5A-5_2026-01-16_15_49_09_camcommerb5.csv</t>
  </si>
  <si>
    <t>postablate_cam5_5A-5_2026-01-16_15_49_09_camcommerb5</t>
  </si>
  <si>
    <t>/zfsgpu3/storage/lrn_project/josh_project/josh_lrn-gtk-2025-12-05/experimental_videos/01_16_26/cam5/5A-5/2026-01-16_15_49_57_camcommerb5/postablate_cam5_5A-5_2026-01-16_15_49_57_camcommerb5.csv</t>
  </si>
  <si>
    <t>01_16_26/cam5/5A-5/2026-01-16_15_49_57_camcommerb5/postablate_cam5_5A-5_2026-01-16_15_49_57_camcommerb5.csv</t>
  </si>
  <si>
    <t>postablate_cam5_5A-5_2026-01-16_15_49_57_camcommerb5.csv</t>
  </si>
  <si>
    <t>postablate_cam5_5A-5_2026-01-16_15_49_57_camcommerb5</t>
  </si>
  <si>
    <t>/zfsgpu3/storage/lrn_project/josh_project/josh_lrn-gtk-2025-12-05/experimental_videos/01_16_26/cam5/5A-5/2026-01-16_15_50_44_camcommerb5/postablate_cam5_5A-5_2026-01-16_15_50_44_camcommerb5.csv</t>
  </si>
  <si>
    <t>01_16_26/cam5/5A-5/2026-01-16_15_50_44_camcommerb5/postablate_cam5_5A-5_2026-01-16_15_50_44_camcommerb5.csv</t>
  </si>
  <si>
    <t>postablate_cam5_5A-5_2026-01-16_15_50_44_camcommerb5.csv</t>
  </si>
  <si>
    <t>postablate_cam5_5A-5_2026-01-16_15_50_44_camcommerb5</t>
  </si>
  <si>
    <t>/zfsgpu3/storage/lrn_project/josh_project/josh_lrn-gtk-2025-12-05/experimental_videos/01_16_26/cam5/5A-5/2026-01-16_15_51_08_camcommerb5/postablate_cam5_5A-5_2026-01-16_15_51_08_camcommerb5.csv</t>
  </si>
  <si>
    <t>01_16_26/cam5/5A-5/2026-01-16_15_51_08_camcommerb5/postablate_cam5_5A-5_2026-01-16_15_51_08_camcommerb5.csv</t>
  </si>
  <si>
    <t>postablate_cam5_5A-5_2026-01-16_15_51_08_camcommerb5.csv</t>
  </si>
  <si>
    <t>postablate_cam5_5A-5_2026-01-16_15_51_08_camcommerb5</t>
  </si>
  <si>
    <t>/zfsgpu3/storage/lrn_project/josh_project/josh_lrn-gtk-2025-12-05/experimental_videos/01_16_26/cam5/5B-2/2026-01-16_15_57_30_camcommerb5/postablate_cam5_5B-2_2026-01-16_15_57_30_camcommerb5.csv</t>
  </si>
  <si>
    <t>01_16_26/cam5/5B-2/2026-01-16_15_57_30_camcommerb5/postablate_cam5_5B-2_2026-01-16_15_57_30_camcommerb5.csv</t>
  </si>
  <si>
    <t>postablate_cam5_5B-2_2026-01-16_15_57_30_camcommerb5.csv</t>
  </si>
  <si>
    <t>postablate_cam5_5B-2_2026-01-16_15_57_30_camcommerb5</t>
  </si>
  <si>
    <t>/zfsgpu3/storage/lrn_project/josh_project/josh_lrn-gtk-2025-12-05/experimental_videos/01_16_26/cam5/5A-5/2026-01-16_15_47_16_camcommerb5/postablate_cam5_5A-5_2026-01-16_15_47_16_camcommerb5.csv</t>
  </si>
  <si>
    <t>01_16_26/cam5/5A-5/2026-01-16_15_47_16_camcommerb5/postablate_cam5_5A-5_2026-01-16_15_47_16_camcommerb5.csv</t>
  </si>
  <si>
    <t>postablate_cam5_5A-5_2026-01-16_15_47_16_camcommerb5.csv</t>
  </si>
  <si>
    <t>postablate_cam5_5A-5_2026-01-16_15_47_16_camcommerb5</t>
  </si>
  <si>
    <t>/zfsgpu3/storage/lrn_project/josh_project/josh_lrn-gtk-2025-12-05/experimental_videos/01_16_26/cam5/5B-2/2026-01-16_15_57_46_camcommerb5/postablate_cam5_5B-2_2026-01-16_15_57_46_camcommerb5.csv</t>
  </si>
  <si>
    <t>01_16_26/cam5/5B-2/2026-01-16_15_57_46_camcommerb5/postablate_cam5_5B-2_2026-01-16_15_57_46_camcommerb5.csv</t>
  </si>
  <si>
    <t>postablate_cam5_5B-2_2026-01-16_15_57_46_camcommerb5.csv</t>
  </si>
  <si>
    <t>postablate_cam5_5B-2_2026-01-16_15_57_46_camcommerb5</t>
  </si>
  <si>
    <t>/zfsgpu3/storage/lrn_project/josh_project/josh_lrn-gtk-2025-12-05/experimental_videos/01_16_26/cam5/5B-2/2026-01-16_15_58_09_camcommerb5/postablate_cam5_5B-2_2026-01-16_15_58_09_camcommerb5.csv</t>
  </si>
  <si>
    <t>01_16_26/cam5/5B-2/2026-01-16_15_58_09_camcommerb5/postablate_cam5_5B-2_2026-01-16_15_58_09_camcommerb5.csv</t>
  </si>
  <si>
    <t>postablate_cam5_5B-2_2026-01-16_15_58_09_camcommerb5.csv</t>
  </si>
  <si>
    <t>postablate_cam5_5B-2_2026-01-16_15_58_09_camcommerb5</t>
  </si>
  <si>
    <t>/zfsgpu3/storage/lrn_project/josh_project/josh_lrn-gtk-2025-12-05/experimental_videos/01_16_26/cam5/5B-2/2026-01-16_15_58_27_camcommerb5/postablate_cam5_5B-2_2026-01-16_15_58_27_camcommerb5.csv</t>
  </si>
  <si>
    <t>01_16_26/cam5/5B-2/2026-01-16_15_58_27_camcommerb5/postablate_cam5_5B-2_2026-01-16_15_58_27_camcommerb5.csv</t>
  </si>
  <si>
    <t>postablate_cam5_5B-2_2026-01-16_15_58_27_camcommerb5.csv</t>
  </si>
  <si>
    <t>postablate_cam5_5B-2_2026-01-16_15_58_27_camcommerb5</t>
  </si>
  <si>
    <t>/zfsgpu3/storage/lrn_project/josh_project/josh_lrn-gtk-2025-12-05/experimental_videos/01_16_26/cam5/5B-2/2026-01-16_15_58_40_camcommerb5/postablate_cam5_5B-2_2026-01-16_15_58_40_camcommerb5.csv</t>
  </si>
  <si>
    <t>01_16_26/cam5/5B-2/2026-01-16_15_58_40_camcommerb5/postablate_cam5_5B-2_2026-01-16_15_58_40_camcommerb5.csv</t>
  </si>
  <si>
    <t>postablate_cam5_5B-2_2026-01-16_15_58_40_camcommerb5.csv</t>
  </si>
  <si>
    <t>postablate_cam5_5B-2_2026-01-16_15_58_40_camcommerb5</t>
  </si>
  <si>
    <t>/zfsgpu3/storage/lrn_project/josh_project/josh_lrn-gtk-2025-12-05/experimental_videos/01_16_26/cam5/5B-2/2026-01-16_15_58_51_camcommerb5/postablate_cam5_5B-2_2026-01-16_15_58_51_camcommerb5.csv</t>
  </si>
  <si>
    <t>01_16_26/cam5/5B-2/2026-01-16_15_58_51_camcommerb5/postablate_cam5_5B-2_2026-01-16_15_58_51_camcommerb5.csv</t>
  </si>
  <si>
    <t>postablate_cam5_5B-2_2026-01-16_15_58_51_camcommerb5.csv</t>
  </si>
  <si>
    <t>postablate_cam5_5B-2_2026-01-16_15_58_51_camcommerb5</t>
  </si>
  <si>
    <t>/zfsgpu3/storage/lrn_project/josh_project/josh_lrn-gtk-2025-12-05/experimental_videos/01_16_26/cam5/5B-2/2026-01-16_15_59_19_camcommerb5/postablate_cam5_5B-2_2026-01-16_15_59_19_camcommerb5.csv</t>
  </si>
  <si>
    <t>01_16_26/cam5/5B-2/2026-01-16_15_59_19_camcommerb5/postablate_cam5_5B-2_2026-01-16_15_59_19_camcommerb5.csv</t>
  </si>
  <si>
    <t>postablate_cam5_5B-2_2026-01-16_15_59_19_camcommerb5.csv</t>
  </si>
  <si>
    <t>postablate_cam5_5B-2_2026-01-16_15_59_19_camcommerb5</t>
  </si>
  <si>
    <t>/zfsgpu3/storage/lrn_project/josh_project/josh_lrn-gtk-2025-12-05/experimental_videos/01_16_26/cam5/5B-2/2026-01-16_15_59_34_camcommerb5/postablate_cam5_5B-2_2026-01-16_15_59_34_camcommerb5.csv</t>
  </si>
  <si>
    <t>01_16_26/cam5/5B-2/2026-01-16_15_59_34_camcommerb5/postablate_cam5_5B-2_2026-01-16_15_59_34_camcommerb5.csv</t>
  </si>
  <si>
    <t>postablate_cam5_5B-2_2026-01-16_15_59_34_camcommerb5.csv</t>
  </si>
  <si>
    <t>postablate_cam5_5B-2_2026-01-16_15_59_34_camcommerb5</t>
  </si>
  <si>
    <t>/zfsgpu3/storage/lrn_project/josh_project/josh_lrn-gtk-2025-12-05/experimental_videos/01_16_26/cam5/5B-2/2026-01-16_16_00_29_camcommerb5/postablate_cam5_5B-2_2026-01-16_16_00_29_camcommerb5.csv</t>
  </si>
  <si>
    <t>01_16_26/cam5/5B-2/2026-01-16_16_00_29_camcommerb5/postablate_cam5_5B-2_2026-01-16_16_00_29_camcommerb5.csv</t>
  </si>
  <si>
    <t>postablate_cam5_5B-2_2026-01-16_16_00_29_camcommerb5.csv</t>
  </si>
  <si>
    <t>postablate_cam5_5B-2_2026-01-16_16_00_29_camcommerb5</t>
  </si>
  <si>
    <t>/zfsgpu3/storage/lrn_project/josh_project/josh_lrn-gtk-2025-12-05/experimental_videos/01_16_26/cam5/5B-2/2026-01-16_16_01_00_camcommerb5/postablate_cam5_5B-2_2026-01-16_16_01_00_camcommerb5.csv</t>
  </si>
  <si>
    <t>01_16_26/cam5/5B-2/2026-01-16_16_01_00_camcommerb5/postablate_cam5_5B-2_2026-01-16_16_01_00_camcommerb5.csv</t>
  </si>
  <si>
    <t>postablate_cam5_5B-2_2026-01-16_16_01_00_camcommerb5.csv</t>
  </si>
  <si>
    <t>postablate_cam5_5B-2_2026-01-16_16_01_00_camcommerb5</t>
  </si>
  <si>
    <t>/zfsgpu3/storage/lrn_project/josh_project/josh_lrn-gtk-2025-12-05/experimental_videos/01_16_26/cam5/5B-2/2026-01-16_16_01_14_camcommerb5/postablate_cam5_5B-2_2026-01-16_16_01_14_camcommerb5.csv</t>
  </si>
  <si>
    <t>01_16_26/cam5/5B-2/2026-01-16_16_01_14_camcommerb5/postablate_cam5_5B-2_2026-01-16_16_01_14_camcommerb5.csv</t>
  </si>
  <si>
    <t>postablate_cam5_5B-2_2026-01-16_16_01_14_camcommerb5.csv</t>
  </si>
  <si>
    <t>postablate_cam5_5B-2_2026-01-16_16_01_14_camcommerb5</t>
  </si>
  <si>
    <t>/zfsgpu3/storage/lrn_project/josh_project/josh_lrn-gtk-2025-12-05/experimental_videos/01_16_26/cam5/5B-2/2026-01-16_16_01_23_camcommerb5/postablate_cam5_5B-2_2026-01-16_16_01_23_camcommerb5.csv</t>
  </si>
  <si>
    <t>01_16_26/cam5/5B-2/2026-01-16_16_01_23_camcommerb5/postablate_cam5_5B-2_2026-01-16_16_01_23_camcommerb5.csv</t>
  </si>
  <si>
    <t>postablate_cam5_5B-2_2026-01-16_16_01_23_camcommerb5.csv</t>
  </si>
  <si>
    <t>postablate_cam5_5B-2_2026-01-16_16_01_23_camcommerb5</t>
  </si>
  <si>
    <t>/zfsgpu3/storage/lrn_project/josh_project/josh_lrn-gtk-2025-12-05/experimental_videos/01_16_26/cam5/5B-2/2026-01-16_16_01_36_camcommerb5/postablate_cam5_5B-2_2026-01-16_16_01_36_camcommerb5.csv</t>
  </si>
  <si>
    <t>01_16_26/cam5/5B-2/2026-01-16_16_01_36_camcommerb5/postablate_cam5_5B-2_2026-01-16_16_01_36_camcommerb5.csv</t>
  </si>
  <si>
    <t>postablate_cam5_5B-2_2026-01-16_16_01_36_camcommerb5.csv</t>
  </si>
  <si>
    <t>postablate_cam5_5B-2_2026-01-16_16_01_36_camcommerb5</t>
  </si>
  <si>
    <t>/zfsgpu3/storage/lrn_project/josh_project/josh_lrn-gtk-2025-12-05/experimental_videos/01_16_26/cam5/5B-2/2026-01-16_15_57_57_camcommerb5/postablate_cam5_5B-2_2026-01-16_15_57_57_camcommerb5.csv</t>
  </si>
  <si>
    <t>01_16_26/cam5/5B-2/2026-01-16_15_57_57_camcommerb5/postablate_cam5_5B-2_2026-01-16_15_57_57_camcommerb5.csv</t>
  </si>
  <si>
    <t>postablate_cam5_5B-2_2026-01-16_15_57_57_camcommerb5.csv</t>
  </si>
  <si>
    <t>postablate_cam5_5B-2_2026-01-16_15_57_57_camcommerb5</t>
  </si>
  <si>
    <t>/zfsgpu3/storage/lrn_project/josh_project/josh_lrn-gtk-2025-12-05/experimental_videos/01_16_26/cam5/5A-5/2026-01-16_15_46_38_camcommerb5/postablate_cam5_5A-5_2026-01-16_15_46_38_camcommerb5.csv</t>
  </si>
  <si>
    <t>01_16_26/cam5/5A-5/2026-01-16_15_46_38_camcommerb5/postablate_cam5_5A-5_2026-01-16_15_46_38_camcommerb5.csv</t>
  </si>
  <si>
    <t>postablate_cam5_5A-5_2026-01-16_15_46_38_camcommerb5.csv</t>
  </si>
  <si>
    <t>postablate_cam5_5A-5_2026-01-16_15_46_38_camcommerb5</t>
  </si>
  <si>
    <t>/zfsgpu3/storage/lrn_project/josh_project/josh_lrn-gtk-2025-12-05/experimental_videos/01_16_26/cam5/5A-3/2026-01-16_15_24_01_camcommerb5/postablate_cam5_5A-3_2026-01-16_15_24_01_camcommerb5.csv</t>
  </si>
  <si>
    <t>01_16_26/cam5/5A-3/2026-01-16_15_24_01_camcommerb5/postablate_cam5_5A-3_2026-01-16_15_24_01_camcommerb5.csv</t>
  </si>
  <si>
    <t>postablate_cam5_5A-3_2026-01-16_15_24_01_camcommerb5.csv</t>
  </si>
  <si>
    <t>postablate_cam5_5A-3_2026-01-16_15_24_01_camcommerb5</t>
  </si>
  <si>
    <t>/zfsgpu3/storage/lrn_project/josh_project/josh_lrn-gtk-2025-12-05/experimental_videos/01_16_26/cam5/5A-3/2026-01-16_15_24_22_camcommerb5/postablate_cam5_5A-3_2026-01-16_15_24_22_camcommerb5.csv</t>
  </si>
  <si>
    <t>01_16_26/cam5/5A-3/2026-01-16_15_24_22_camcommerb5/postablate_cam5_5A-3_2026-01-16_15_24_22_camcommerb5.csv</t>
  </si>
  <si>
    <t>postablate_cam5_5A-3_2026-01-16_15_24_22_camcommerb5.csv</t>
  </si>
  <si>
    <t>postablate_cam5_5A-3_2026-01-16_15_24_22_camcommerb5</t>
  </si>
  <si>
    <t>/zfsgpu3/storage/lrn_project/josh_project/josh_lrn-gtk-2025-12-05/experimental_videos/01_16_26/cam5/5A-3/2026-01-16_15_26_15_camcommerb5/postablate_cam5_5A-3_2026-01-16_15_26_15_camcommerb5.csv</t>
  </si>
  <si>
    <t>01_16_26/cam5/5A-3/2026-01-16_15_26_15_camcommerb5/postablate_cam5_5A-3_2026-01-16_15_26_15_camcommerb5.csv</t>
  </si>
  <si>
    <t>postablate_cam5_5A-3_2026-01-16_15_26_15_camcommerb5.csv</t>
  </si>
  <si>
    <t>postablate_cam5_5A-3_2026-01-16_15_26_15_camcommerb5</t>
  </si>
  <si>
    <t>/zfsgpu3/storage/lrn_project/josh_project/josh_lrn-gtk-2025-12-05/experimental_videos/01_16_26/cam5/5A-3/2026-01-16_15_28_29_camcommerb5/postablate_cam5_5A-3_2026-01-16_15_28_29_camcommerb5.csv</t>
  </si>
  <si>
    <t>01_16_26/cam5/5A-3/2026-01-16_15_28_29_camcommerb5/postablate_cam5_5A-3_2026-01-16_15_28_29_camcommerb5.csv</t>
  </si>
  <si>
    <t>postablate_cam5_5A-3_2026-01-16_15_28_29_camcommerb5.csv</t>
  </si>
  <si>
    <t>postablate_cam5_5A-3_2026-01-16_15_28_29_camcommerb5</t>
  </si>
  <si>
    <t>/zfsgpu3/storage/lrn_project/josh_project/josh_lrn-gtk-2025-12-05/experimental_videos/01_16_26/cam5/5A-3/2026-01-16_15_29_46_camcommerb5/postablate_cam5_5A-3_2026-01-16_15_29_46_camcommerb5.csv</t>
  </si>
  <si>
    <t>01_16_26/cam5/5A-3/2026-01-16_15_29_46_camcommerb5/postablate_cam5_5A-3_2026-01-16_15_29_46_camcommerb5.csv</t>
  </si>
  <si>
    <t>postablate_cam5_5A-3_2026-01-16_15_29_46_camcommerb5.csv</t>
  </si>
  <si>
    <t>postablate_cam5_5A-3_2026-01-16_15_29_46_camcommerb5</t>
  </si>
  <si>
    <t>/zfsgpu3/storage/lrn_project/josh_project/josh_lrn-gtk-2025-12-05/experimental_videos/01_16_26/cam5/5A-3/2026-01-16_15_30_06_camcommerb5/postablate_cam5_5A-3_2026-01-16_15_30_06_camcommerb5.csv</t>
  </si>
  <si>
    <t>01_16_26/cam5/5A-3/2026-01-16_15_30_06_camcommerb5/postablate_cam5_5A-3_2026-01-16_15_30_06_camcommerb5.csv</t>
  </si>
  <si>
    <t>postablate_cam5_5A-3_2026-01-16_15_30_06_camcommerb5.csv</t>
  </si>
  <si>
    <t>postablate_cam5_5A-3_2026-01-16_15_30_06_camcommerb5</t>
  </si>
  <si>
    <t>/zfsgpu3/storage/lrn_project/josh_project/josh_lrn-gtk-2025-12-05/experimental_videos/01_16_26/cam5/5A-4/2026-01-16_15_40_06_camcommerb5/postablate_cam5_5A-4_2026-01-16_15_40_06_camcommerb5.csv</t>
  </si>
  <si>
    <t>01_16_26/cam5/5A-4/2026-01-16_15_40_06_camcommerb5/postablate_cam5_5A-4_2026-01-16_15_40_06_camcommerb5.csv</t>
  </si>
  <si>
    <t>postablate_cam5_5A-4_2026-01-16_15_40_06_camcommerb5.csv</t>
  </si>
  <si>
    <t>postablate_cam5_5A-4_2026-01-16_15_40_06_camcommerb5</t>
  </si>
  <si>
    <t>/zfsgpu3/storage/lrn_project/josh_project/josh_lrn-gtk-2025-12-05/experimental_videos/11_26_25/Cohort_5A/cam5/11_26_25/rat5/2025-11-26_12_12_19_camcommerb5/Cohort_5A_cam5_rat5_2025-11-26_12_12_19.csv</t>
  </si>
  <si>
    <t>11_26_25/Cohort_5A/cam5/11_26_25/rat5/2025-11-26_12_12_19_camcommerb5/Cohort_5A_cam5_rat5_2025-11-26_12_12_19.csv</t>
  </si>
  <si>
    <t>Cohort_5A_cam5_rat5_2025-11-26_12_12_19.csv</t>
  </si>
  <si>
    <t>Cohort_5A_cam5_rat5_2025-11-26_12_12_19</t>
  </si>
  <si>
    <t>/zfsgpu3/storage/lrn_project/josh_project/josh_lrn-gtk-2025-12-05/experimental_videos/11_26_25/Cohort_5A/cam5/11_26_25/rat4/2025-11-26_12_00_11_camcommerb5/Cohort_5A_cam5_rat4_2025-11-26_12_00_11.csv</t>
  </si>
  <si>
    <t>11_26_25/Cohort_5A/cam5/11_26_25/rat4/2025-11-26_12_00_11_camcommerb5/Cohort_5A_cam5_rat4_2025-11-26_12_00_11.csv</t>
  </si>
  <si>
    <t>Cohort_5A_cam5_rat4_2025-11-26_12_00_11.csv</t>
  </si>
  <si>
    <t>Cohort_5A_cam5_rat4_2025-11-26_12_00_11</t>
  </si>
  <si>
    <t>/zfsgpu3/storage/lrn_project/josh_project/josh_lrn-gtk-2025-12-05/experimental_videos/11_26_25/Cohort_5A/cam5/11_26_25/rat5/2025-11-26_12_11_34_camcommerb5/Cohort_5A_cam5_rat5_2025-11-26_12_11_34.csv</t>
  </si>
  <si>
    <t>11_26_25/Cohort_5A/cam5/11_26_25/rat5/2025-11-26_12_11_34_camcommerb5/Cohort_5A_cam5_rat5_2025-11-26_12_11_34.csv</t>
  </si>
  <si>
    <t>Cohort_5A_cam5_rat5_2025-11-26_12_11_34.csv</t>
  </si>
  <si>
    <t>Cohort_5A_cam5_rat5_2025-11-26_12_11_34</t>
  </si>
  <si>
    <t>/zfsgpu3/storage/lrn_project/josh_project/josh_lrn-gtk-2025-12-05/experimental_videos/11_26_25/Cohort_5A/cam5/11_26_25/rat5/2025-11-26_12_11_55_camcommerb5/Cohort_5A_cam5_rat5_2025-11-26_12_11_55.csv</t>
  </si>
  <si>
    <t>11_26_25/Cohort_5A/cam5/11_26_25/rat5/2025-11-26_12_11_55_camcommerb5/Cohort_5A_cam5_rat5_2025-11-26_12_11_55.csv</t>
  </si>
  <si>
    <t>Cohort_5A_cam5_rat5_2025-11-26_12_11_55.csv</t>
  </si>
  <si>
    <t>Cohort_5A_cam5_rat5_2025-11-26_12_11_55</t>
  </si>
  <si>
    <t>/zfsgpu3/storage/lrn_project/josh_project/josh_lrn-gtk-2025-12-05/experimental_videos/11_26_25/Cohort_5A/cam5/11_26_25/rat3/2025-11-26_11_42_02_camcommerb5/Cohort_5A_cam5_rat3_2025-11-26_11_42_02.csv</t>
  </si>
  <si>
    <t>11_26_25/Cohort_5A/cam5/11_26_25/rat3/2025-11-26_11_42_02_camcommerb5/Cohort_5A_cam5_rat3_2025-11-26_11_42_02.csv</t>
  </si>
  <si>
    <t>Cohort_5A_cam5_rat3_2025-11-26_11_42_02.csv</t>
  </si>
  <si>
    <t>Cohort_5A_cam5_rat3_2025-11-26_11_42_02</t>
  </si>
  <si>
    <t>/zfsgpu3/storage/lrn_project/josh_project/josh_lrn-gtk-2025-12-05/experimental_videos/01_16_26/cam5/5B-6/2026-01-16_16_10_56_camcommerb5/postablate_cam5_5B-6_2026-01-16_16_10_56_camcommerb5.csv</t>
  </si>
  <si>
    <t>01_16_26/cam5/5B-6/2026-01-16_16_10_56_camcommerb5/postablate_cam5_5B-6_2026-01-16_16_10_56_camcommerb5.csv</t>
  </si>
  <si>
    <t>postablate_cam5_5B-6_2026-01-16_16_10_56_camcommerb5.csv</t>
  </si>
  <si>
    <t>postablate_cam5_5B-6_2026-01-16_16_10_56_camcommerb5</t>
  </si>
  <si>
    <t>/zfsgpu3/storage/lrn_project/josh_project/josh_lrn-gtk-2025-12-05/experimental_videos/01_16_26/cam5/5B-6/2026-01-16_16_11_54_camcommerb5/postablate_cam5_5B-6_2026-01-16_16_11_54_camcommerb5.csv</t>
  </si>
  <si>
    <t>01_16_26/cam5/5B-6/2026-01-16_16_11_54_camcommerb5/postablate_cam5_5B-6_2026-01-16_16_11_54_camcommerb5.csv</t>
  </si>
  <si>
    <t>postablate_cam5_5B-6_2026-01-16_16_11_54_camcommerb5.csv</t>
  </si>
  <si>
    <t>postablate_cam5_5B-6_2026-01-16_16_11_54_camcommerb5</t>
  </si>
  <si>
    <t>/zfsgpu3/storage/lrn_project/josh_project/josh_lrn-gtk-2025-12-05/experimental_videos/01_16_26/cam5/5B-6/2026-01-16_16_13_19_camcommerb5/postablate_cam5_5B-6_2026-01-16_16_13_19_camcommerb5.csv</t>
  </si>
  <si>
    <t>01_16_26/cam5/5B-6/2026-01-16_16_13_19_camcommerb5/postablate_cam5_5B-6_2026-01-16_16_13_19_camcommerb5.csv</t>
  </si>
  <si>
    <t>postablate_cam5_5B-6_2026-01-16_16_13_19_camcommerb5.csv</t>
  </si>
  <si>
    <t>postablate_cam5_5B-6_2026-01-16_16_13_19_camcommerb5</t>
  </si>
  <si>
    <t>/zfsgpu3/storage/lrn_project/josh_project/josh_lrn-gtk-2025-12-05/experimental_videos/01_16_26/cam5/5B-6/2026-01-16_16_13_35_camcommerb5/postablate_cam5_5B-6_2026-01-16_16_13_35_camcommerb5.csv</t>
  </si>
  <si>
    <t>01_16_26/cam5/5B-6/2026-01-16_16_13_35_camcommerb5/postablate_cam5_5B-6_2026-01-16_16_13_35_camcommerb5.csv</t>
  </si>
  <si>
    <t>postablate_cam5_5B-6_2026-01-16_16_13_35_camcommerb5.csv</t>
  </si>
  <si>
    <t>postablate_cam5_5B-6_2026-01-16_16_13_35_camcommerb5</t>
  </si>
  <si>
    <t>/zfsgpu3/storage/lrn_project/josh_project/josh_lrn-gtk-2025-12-05/experimental_videos/11_26_25/Cohort_5A/cam5/11_26_25/rat3/2025-11-26_11_32_55_camcommerb5/Cohort_5A_cam5_rat3_2025-11-26_11_32_55.csv</t>
  </si>
  <si>
    <t>11_26_25/Cohort_5A/cam5/11_26_25/rat3/2025-11-26_11_32_55_camcommerb5/Cohort_5A_cam5_rat3_2025-11-26_11_32_55.csv</t>
  </si>
  <si>
    <t>Cohort_5A_cam5_rat3_2025-11-26_11_32_55.csv</t>
  </si>
  <si>
    <t>Cohort_5A_cam5_rat3_2025-11-26_11_32_55</t>
  </si>
  <si>
    <t>/zfsgpu3/storage/lrn_project/josh_project/josh_lrn-gtk-2025-12-05/experimental_videos/11_26_25/Cohort_5A/cam5/11_26_25/rat3/2025-11-26_11_33_42_camcommerb5/Cohort_5A_cam5_rat3_2025-11-26_11_33_42.csv</t>
  </si>
  <si>
    <t>11_26_25/Cohort_5A/cam5/11_26_25/rat3/2025-11-26_11_33_42_camcommerb5/Cohort_5A_cam5_rat3_2025-11-26_11_33_42.csv</t>
  </si>
  <si>
    <t>Cohort_5A_cam5_rat3_2025-11-26_11_33_42.csv</t>
  </si>
  <si>
    <t>Cohort_5A_cam5_rat3_2025-11-26_11_33_42</t>
  </si>
  <si>
    <t>/zfsgpu3/storage/lrn_project/josh_project/josh_lrn-gtk-2025-12-05/experimental_videos/11_26_25/Cohort_5A/cam5/11_26_25/rat3/2025-11-26_11_41_44_camcommerb5/Cohort_5A_cam5_rat3_2025-11-26_11_41_44.csv</t>
  </si>
  <si>
    <t>11_26_25/Cohort_5A/cam5/11_26_25/rat3/2025-11-26_11_41_44_camcommerb5/Cohort_5A_cam5_rat3_2025-11-26_11_41_44.csv</t>
  </si>
  <si>
    <t>Cohort_5A_cam5_rat3_2025-11-26_11_41_44.csv</t>
  </si>
  <si>
    <t>Cohort_5A_cam5_rat3_2025-11-26_11_41_44</t>
  </si>
  <si>
    <t>handedness</t>
  </si>
  <si>
    <t>left</t>
  </si>
  <si>
    <t>right</t>
  </si>
  <si>
    <t>keep</t>
  </si>
  <si>
    <t>pass_slit</t>
  </si>
  <si>
    <t>keep_remove</t>
  </si>
  <si>
    <t>hand_lift_off</t>
  </si>
  <si>
    <t>reach_attempt_hand</t>
  </si>
  <si>
    <t>both</t>
  </si>
  <si>
    <t>end_frame</t>
  </si>
  <si>
    <t>clean</t>
  </si>
  <si>
    <t>yes</t>
  </si>
  <si>
    <t>p-cut</t>
  </si>
  <si>
    <t>control_experimental</t>
  </si>
  <si>
    <t>control</t>
  </si>
  <si>
    <t>experimental</t>
  </si>
  <si>
    <t>ppx_shelf</t>
  </si>
  <si>
    <t>mm</t>
  </si>
  <si>
    <t>mm_per_px</t>
  </si>
  <si>
    <t>reach_success_fail</t>
  </si>
  <si>
    <t>fail</t>
  </si>
  <si>
    <t>success</t>
  </si>
  <si>
    <t>retrieval_success_fail</t>
  </si>
  <si>
    <t>hand_flex</t>
  </si>
  <si>
    <t>hand_ext</t>
  </si>
  <si>
    <t>pellet_post_x</t>
  </si>
  <si>
    <t>pellet_post_y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</si>
</sst>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14" fontId="0" fillId="0" borderId="0" xfId="0" applyNumberFormat="1"/>
    <xf numFmtId="21" fontId="0" fillId="0" borderId="0" xfId="0" applyNumberFormat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1AD4-71E5-494D-9778-0EDF28B164E6}">
  <dimension ref="A1:AP794"/>
  <sheetViews>
    <sheetView tabSelected="1" topLeftCell="D1" zoomScaleNormal="100" workbookViewId="0">
      <pane ySplit="1" topLeftCell="A131" activePane="bottomLeft" state="frozen"/>
      <selection pane="bottomLeft" activeCell="D147" sqref="D147"/>
    </sheetView>
  </sheetViews>
  <sheetFormatPr baseColWidth="10" defaultRowHeight="16" x14ac:dyDescent="0.2"/>
  <cols>
    <col min="1" max="1" width="2.5" customWidth="1"/>
    <col min="2" max="2" width="30.6640625" customWidth="1"/>
    <col min="3" max="3" width="33.33203125" customWidth="1"/>
    <col min="4" max="4" width="64.1640625" customWidth="1"/>
    <col min="5" max="8" width="18.83203125" customWidth="1"/>
    <col min="9" max="12" width="8.5" customWidth="1"/>
    <col min="13" max="13" width="10.83203125" customWidth="1"/>
    <col min="14" max="14" width="6.6640625" bestFit="1" customWidth="1"/>
    <col min="15" max="15" width="34.1640625" customWidth="1"/>
    <col min="16" max="16" width="6.1640625" bestFit="1" customWidth="1"/>
    <col min="17" max="17" width="5.83203125" bestFit="1" customWidth="1"/>
    <col min="18" max="18" width="9.6640625" bestFit="1" customWidth="1"/>
    <col min="19" max="19" width="11.6640625" bestFit="1" customWidth="1"/>
    <col min="20" max="20" width="8.5" bestFit="1" customWidth="1"/>
    <col min="21" max="21" width="8.5" customWidth="1"/>
    <col min="22" max="22" width="11.5" bestFit="1" customWidth="1"/>
    <col min="23" max="23" width="18.33203125" bestFit="1" customWidth="1"/>
    <col min="24" max="24" width="12.1640625" bestFit="1" customWidth="1"/>
    <col min="26" max="28" width="10.83203125" style="5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s="6" t="s">
        <v>784</v>
      </c>
      <c r="F1" s="6" t="s">
        <v>787</v>
      </c>
      <c r="G1" s="6" t="s">
        <v>790</v>
      </c>
      <c r="H1" s="6" t="s">
        <v>791</v>
      </c>
      <c r="I1" s="4" t="s">
        <v>775</v>
      </c>
      <c r="J1" s="4" t="s">
        <v>777</v>
      </c>
      <c r="K1" s="6" t="s">
        <v>788</v>
      </c>
      <c r="L1" s="6" t="s">
        <v>789</v>
      </c>
      <c r="M1" t="s">
        <v>4</v>
      </c>
      <c r="N1" t="s">
        <v>5</v>
      </c>
      <c r="O1" t="s">
        <v>778</v>
      </c>
      <c r="P1" t="s">
        <v>6</v>
      </c>
      <c r="Q1" t="s">
        <v>7</v>
      </c>
      <c r="R1" t="s">
        <v>8</v>
      </c>
      <c r="S1" t="s">
        <v>771</v>
      </c>
      <c r="T1" t="s">
        <v>769</v>
      </c>
      <c r="U1" t="s">
        <v>774</v>
      </c>
      <c r="V1" t="s">
        <v>765</v>
      </c>
      <c r="W1" t="s">
        <v>772</v>
      </c>
      <c r="X1" t="s">
        <v>770</v>
      </c>
      <c r="Y1" t="s">
        <v>9</v>
      </c>
      <c r="Z1" s="5" t="s">
        <v>782</v>
      </c>
      <c r="AA1" s="5" t="s">
        <v>783</v>
      </c>
      <c r="AB1" s="5" t="s">
        <v>781</v>
      </c>
      <c r="AC1" t="s">
        <v>10</v>
      </c>
      <c r="AD1" t="s">
        <v>11</v>
      </c>
      <c r="AE1" t="s">
        <v>12</v>
      </c>
      <c r="AF1" t="s">
        <v>13</v>
      </c>
      <c r="AG1" t="s">
        <v>14</v>
      </c>
      <c r="AH1" t="s">
        <v>15</v>
      </c>
      <c r="AI1" t="s">
        <v>16</v>
      </c>
      <c r="AJ1" t="s">
        <v>17</v>
      </c>
      <c r="AK1" t="s">
        <v>18</v>
      </c>
      <c r="AL1" t="s">
        <v>19</v>
      </c>
      <c r="AM1" t="s">
        <v>20</v>
      </c>
      <c r="AN1" t="s">
        <v>21</v>
      </c>
      <c r="AO1" t="s">
        <v>22</v>
      </c>
      <c r="AP1" t="s">
        <v>23</v>
      </c>
    </row>
    <row r="2" spans="1:42" x14ac:dyDescent="0.2">
      <c r="A2" s="1" t="s">
        <v>160</v>
      </c>
      <c r="B2" s="1" t="s">
        <v>161</v>
      </c>
      <c r="C2" s="1" t="s">
        <v>162</v>
      </c>
      <c r="D2" s="1" t="s">
        <v>163</v>
      </c>
      <c r="E2" s="6" t="s">
        <v>785</v>
      </c>
      <c r="F2" s="6" t="s">
        <v>785</v>
      </c>
      <c r="G2" s="6">
        <v>684</v>
      </c>
      <c r="H2" s="6">
        <v>289</v>
      </c>
      <c r="I2" s="4" t="s">
        <v>776</v>
      </c>
      <c r="J2" s="4">
        <v>0.14299999999999999</v>
      </c>
      <c r="K2" s="6"/>
      <c r="L2" s="6"/>
      <c r="M2" s="1" t="s">
        <v>133</v>
      </c>
      <c r="N2" s="1" t="s">
        <v>25</v>
      </c>
      <c r="O2" s="1" t="s">
        <v>779</v>
      </c>
      <c r="P2" s="1" t="s">
        <v>25</v>
      </c>
      <c r="Q2" s="1">
        <v>4</v>
      </c>
      <c r="R2" s="1">
        <v>4</v>
      </c>
      <c r="S2" s="1">
        <v>397</v>
      </c>
      <c r="T2" s="1">
        <v>481</v>
      </c>
      <c r="U2" s="1">
        <f>T2+100</f>
        <v>581</v>
      </c>
      <c r="V2" t="s">
        <v>766</v>
      </c>
      <c r="W2" t="s">
        <v>766</v>
      </c>
      <c r="X2" t="s">
        <v>768</v>
      </c>
      <c r="Y2">
        <v>4</v>
      </c>
      <c r="Z2" s="5">
        <v>32.5</v>
      </c>
      <c r="AA2" s="5">
        <f>Z2/AB2</f>
        <v>0.29276641743987025</v>
      </c>
      <c r="AB2" s="5">
        <v>111.01</v>
      </c>
      <c r="AC2" s="2">
        <v>45987</v>
      </c>
      <c r="AD2" s="2">
        <v>45987</v>
      </c>
      <c r="AE2" s="3">
        <v>0.50298611111111113</v>
      </c>
      <c r="AF2" t="s">
        <v>26</v>
      </c>
      <c r="AG2" t="s">
        <v>134</v>
      </c>
      <c r="AH2" t="s">
        <v>135</v>
      </c>
      <c r="AI2" t="s">
        <v>136</v>
      </c>
      <c r="AJ2" t="s">
        <v>137</v>
      </c>
      <c r="AK2" t="s">
        <v>138</v>
      </c>
      <c r="AL2" t="s">
        <v>139</v>
      </c>
      <c r="AM2" t="s">
        <v>140</v>
      </c>
      <c r="AN2" t="s">
        <v>141</v>
      </c>
      <c r="AO2" t="s">
        <v>142</v>
      </c>
      <c r="AP2" t="s">
        <v>143</v>
      </c>
    </row>
    <row r="3" spans="1:42" x14ac:dyDescent="0.2">
      <c r="A3" s="1" t="s">
        <v>172</v>
      </c>
      <c r="B3" s="1" t="s">
        <v>173</v>
      </c>
      <c r="C3" s="1" t="s">
        <v>174</v>
      </c>
      <c r="D3" s="1" t="s">
        <v>175</v>
      </c>
      <c r="E3" s="6" t="s">
        <v>786</v>
      </c>
      <c r="F3" s="6" t="s">
        <v>786</v>
      </c>
      <c r="G3" s="6">
        <v>684</v>
      </c>
      <c r="H3" s="6">
        <v>289</v>
      </c>
      <c r="I3" s="4" t="s">
        <v>776</v>
      </c>
      <c r="J3" s="4">
        <v>0.24</v>
      </c>
      <c r="K3" s="6"/>
      <c r="L3" s="6"/>
      <c r="M3" s="1" t="s">
        <v>133</v>
      </c>
      <c r="N3" s="1" t="s">
        <v>25</v>
      </c>
      <c r="O3" s="1" t="s">
        <v>779</v>
      </c>
      <c r="P3" s="1" t="s">
        <v>25</v>
      </c>
      <c r="Q3" s="1">
        <v>4</v>
      </c>
      <c r="R3" s="1">
        <v>4</v>
      </c>
      <c r="S3" s="1">
        <v>506</v>
      </c>
      <c r="T3" s="1">
        <v>548</v>
      </c>
      <c r="U3" s="1">
        <f>T3+100</f>
        <v>648</v>
      </c>
      <c r="V3" t="s">
        <v>766</v>
      </c>
      <c r="W3" t="s">
        <v>766</v>
      </c>
      <c r="X3" t="s">
        <v>768</v>
      </c>
      <c r="Y3">
        <v>4</v>
      </c>
      <c r="Z3" s="5">
        <v>32.5</v>
      </c>
      <c r="AA3" s="5">
        <f>Z3/AB3</f>
        <v>0.29276641743987025</v>
      </c>
      <c r="AB3" s="5">
        <v>111.01</v>
      </c>
      <c r="AC3" s="2">
        <v>45987</v>
      </c>
      <c r="AD3" s="2">
        <v>45987</v>
      </c>
      <c r="AE3" s="3">
        <v>0.50329861111111107</v>
      </c>
      <c r="AF3" t="s">
        <v>26</v>
      </c>
      <c r="AG3" t="s">
        <v>134</v>
      </c>
      <c r="AH3" t="s">
        <v>135</v>
      </c>
      <c r="AI3" t="s">
        <v>136</v>
      </c>
      <c r="AJ3" t="s">
        <v>137</v>
      </c>
      <c r="AK3" t="s">
        <v>138</v>
      </c>
      <c r="AL3" t="s">
        <v>139</v>
      </c>
      <c r="AM3" t="s">
        <v>140</v>
      </c>
      <c r="AN3" t="s">
        <v>141</v>
      </c>
      <c r="AO3" t="s">
        <v>142</v>
      </c>
      <c r="AP3" t="s">
        <v>143</v>
      </c>
    </row>
    <row r="4" spans="1:42" x14ac:dyDescent="0.2">
      <c r="A4" s="1" t="s">
        <v>184</v>
      </c>
      <c r="B4" s="1" t="s">
        <v>185</v>
      </c>
      <c r="C4" s="1" t="s">
        <v>186</v>
      </c>
      <c r="D4" s="1" t="s">
        <v>187</v>
      </c>
      <c r="E4" s="6" t="s">
        <v>786</v>
      </c>
      <c r="F4" s="6" t="s">
        <v>786</v>
      </c>
      <c r="G4" s="6">
        <v>684</v>
      </c>
      <c r="H4" s="6">
        <v>289</v>
      </c>
      <c r="I4" s="4" t="s">
        <v>776</v>
      </c>
      <c r="J4" s="4">
        <v>0.39</v>
      </c>
      <c r="K4" s="6"/>
      <c r="L4" s="6"/>
      <c r="M4" s="1" t="s">
        <v>133</v>
      </c>
      <c r="N4" s="1" t="s">
        <v>25</v>
      </c>
      <c r="O4" s="1" t="s">
        <v>779</v>
      </c>
      <c r="P4" s="1" t="s">
        <v>25</v>
      </c>
      <c r="Q4" s="1">
        <v>4</v>
      </c>
      <c r="R4" s="1">
        <v>4</v>
      </c>
      <c r="S4" s="1">
        <v>251</v>
      </c>
      <c r="T4" s="1">
        <v>413</v>
      </c>
      <c r="U4" s="1">
        <f>T4+100</f>
        <v>513</v>
      </c>
      <c r="V4" t="s">
        <v>766</v>
      </c>
      <c r="W4" t="s">
        <v>766</v>
      </c>
      <c r="X4" t="s">
        <v>768</v>
      </c>
      <c r="Y4">
        <v>4</v>
      </c>
      <c r="Z4" s="5">
        <v>32.5</v>
      </c>
      <c r="AA4" s="5">
        <f>Z4/AB4</f>
        <v>0.29276641743987025</v>
      </c>
      <c r="AB4" s="5">
        <v>111.01</v>
      </c>
      <c r="AC4" s="2">
        <v>45987</v>
      </c>
      <c r="AD4" s="2">
        <v>45987</v>
      </c>
      <c r="AE4" s="3">
        <v>0.50192129629629634</v>
      </c>
      <c r="AF4" t="s">
        <v>26</v>
      </c>
      <c r="AG4" t="s">
        <v>134</v>
      </c>
      <c r="AH4" t="s">
        <v>135</v>
      </c>
      <c r="AI4" t="s">
        <v>136</v>
      </c>
      <c r="AJ4" t="s">
        <v>137</v>
      </c>
      <c r="AK4" t="s">
        <v>138</v>
      </c>
      <c r="AL4" t="s">
        <v>139</v>
      </c>
      <c r="AM4" t="s">
        <v>140</v>
      </c>
      <c r="AN4" t="s">
        <v>141</v>
      </c>
      <c r="AO4" t="s">
        <v>142</v>
      </c>
      <c r="AP4" t="s">
        <v>143</v>
      </c>
    </row>
    <row r="5" spans="1:42" ht="15" customHeight="1" x14ac:dyDescent="0.2">
      <c r="A5" s="1" t="s">
        <v>148</v>
      </c>
      <c r="B5" s="1" t="s">
        <v>149</v>
      </c>
      <c r="C5" s="1" t="s">
        <v>150</v>
      </c>
      <c r="D5" s="1" t="s">
        <v>151</v>
      </c>
      <c r="E5" s="6" t="s">
        <v>785</v>
      </c>
      <c r="F5" s="6" t="s">
        <v>785</v>
      </c>
      <c r="G5" s="6">
        <v>684</v>
      </c>
      <c r="H5" s="6">
        <v>289</v>
      </c>
      <c r="I5" s="4" t="s">
        <v>776</v>
      </c>
      <c r="J5" s="4">
        <v>0.11</v>
      </c>
      <c r="K5" s="6"/>
      <c r="L5" s="6"/>
      <c r="M5" s="1" t="s">
        <v>133</v>
      </c>
      <c r="N5" s="1" t="s">
        <v>25</v>
      </c>
      <c r="O5" s="1" t="s">
        <v>779</v>
      </c>
      <c r="P5" s="1" t="s">
        <v>25</v>
      </c>
      <c r="Q5" s="1">
        <v>4</v>
      </c>
      <c r="R5" s="1">
        <v>4</v>
      </c>
      <c r="S5" s="1">
        <v>317</v>
      </c>
      <c r="T5" s="1">
        <v>422</v>
      </c>
      <c r="U5" s="1">
        <f>T5+100</f>
        <v>522</v>
      </c>
      <c r="V5" t="s">
        <v>766</v>
      </c>
      <c r="X5" t="s">
        <v>768</v>
      </c>
      <c r="Y5">
        <v>4</v>
      </c>
      <c r="Z5" s="5">
        <v>32.5</v>
      </c>
      <c r="AA5" s="5">
        <f>Z5/AB5</f>
        <v>0.29276641743987025</v>
      </c>
      <c r="AB5" s="5">
        <v>111.01</v>
      </c>
      <c r="AC5" s="2">
        <v>45987</v>
      </c>
      <c r="AD5" s="2">
        <v>45987</v>
      </c>
      <c r="AE5" s="3">
        <v>0.49949074074074074</v>
      </c>
      <c r="AF5" t="s">
        <v>26</v>
      </c>
      <c r="AG5" t="s">
        <v>134</v>
      </c>
      <c r="AH5" t="s">
        <v>135</v>
      </c>
      <c r="AI5" t="s">
        <v>136</v>
      </c>
      <c r="AJ5" t="s">
        <v>137</v>
      </c>
      <c r="AK5" t="s">
        <v>138</v>
      </c>
      <c r="AL5" t="s">
        <v>139</v>
      </c>
      <c r="AM5" t="s">
        <v>140</v>
      </c>
      <c r="AN5" t="s">
        <v>141</v>
      </c>
      <c r="AO5" t="s">
        <v>142</v>
      </c>
      <c r="AP5" t="s">
        <v>143</v>
      </c>
    </row>
    <row r="6" spans="1:42" x14ac:dyDescent="0.2">
      <c r="A6" s="1" t="s">
        <v>156</v>
      </c>
      <c r="B6" s="1" t="s">
        <v>157</v>
      </c>
      <c r="C6" s="1" t="s">
        <v>158</v>
      </c>
      <c r="D6" s="1" t="s">
        <v>159</v>
      </c>
      <c r="E6" s="6" t="s">
        <v>786</v>
      </c>
      <c r="F6" s="6" t="s">
        <v>786</v>
      </c>
      <c r="G6" s="6">
        <v>684</v>
      </c>
      <c r="H6" s="6">
        <v>289</v>
      </c>
      <c r="I6" s="4" t="s">
        <v>776</v>
      </c>
      <c r="J6" s="4">
        <v>0.188</v>
      </c>
      <c r="K6" s="6"/>
      <c r="L6" s="6"/>
      <c r="M6" s="1" t="s">
        <v>133</v>
      </c>
      <c r="N6" s="1" t="s">
        <v>25</v>
      </c>
      <c r="O6" s="1" t="s">
        <v>779</v>
      </c>
      <c r="P6" s="1" t="s">
        <v>25</v>
      </c>
      <c r="Q6" s="1">
        <v>4</v>
      </c>
      <c r="R6" s="1">
        <v>4</v>
      </c>
      <c r="S6" s="1">
        <v>422</v>
      </c>
      <c r="T6" s="1">
        <v>502</v>
      </c>
      <c r="U6" s="1">
        <f>T6+100</f>
        <v>602</v>
      </c>
      <c r="V6" t="s">
        <v>766</v>
      </c>
      <c r="X6" t="s">
        <v>768</v>
      </c>
      <c r="Y6">
        <v>4</v>
      </c>
      <c r="Z6" s="5">
        <v>32.5</v>
      </c>
      <c r="AA6" s="5">
        <f>Z6/AB6</f>
        <v>0.29276641743987025</v>
      </c>
      <c r="AB6" s="5">
        <v>111.01</v>
      </c>
      <c r="AC6" s="2">
        <v>45987</v>
      </c>
      <c r="AD6" s="2">
        <v>45987</v>
      </c>
      <c r="AE6" s="3">
        <v>0.50024305555555559</v>
      </c>
      <c r="AF6" t="s">
        <v>26</v>
      </c>
      <c r="AG6" t="s">
        <v>134</v>
      </c>
      <c r="AH6" t="s">
        <v>135</v>
      </c>
      <c r="AI6" t="s">
        <v>136</v>
      </c>
      <c r="AJ6" t="s">
        <v>137</v>
      </c>
      <c r="AK6" t="s">
        <v>138</v>
      </c>
      <c r="AL6" t="s">
        <v>139</v>
      </c>
      <c r="AM6" t="s">
        <v>140</v>
      </c>
      <c r="AN6" t="s">
        <v>141</v>
      </c>
      <c r="AO6" t="s">
        <v>142</v>
      </c>
      <c r="AP6" t="s">
        <v>143</v>
      </c>
    </row>
    <row r="7" spans="1:42" x14ac:dyDescent="0.2">
      <c r="A7" s="1" t="s">
        <v>164</v>
      </c>
      <c r="B7" s="1" t="s">
        <v>165</v>
      </c>
      <c r="C7" s="1" t="s">
        <v>166</v>
      </c>
      <c r="D7" s="1" t="s">
        <v>167</v>
      </c>
      <c r="E7" s="6" t="s">
        <v>785</v>
      </c>
      <c r="F7" s="6" t="s">
        <v>785</v>
      </c>
      <c r="G7" s="6">
        <v>684</v>
      </c>
      <c r="H7" s="6">
        <v>289</v>
      </c>
      <c r="I7" s="4" t="s">
        <v>776</v>
      </c>
      <c r="J7" s="4">
        <v>0.11600000000000001</v>
      </c>
      <c r="K7" s="6"/>
      <c r="L7" s="6"/>
      <c r="M7" s="1" t="s">
        <v>133</v>
      </c>
      <c r="N7" s="1" t="s">
        <v>25</v>
      </c>
      <c r="O7" s="1" t="s">
        <v>779</v>
      </c>
      <c r="P7" s="1" t="s">
        <v>25</v>
      </c>
      <c r="Q7" s="1">
        <v>4</v>
      </c>
      <c r="R7" s="1">
        <v>4</v>
      </c>
      <c r="S7" s="1">
        <v>516</v>
      </c>
      <c r="T7" s="1">
        <v>693</v>
      </c>
      <c r="U7" s="1">
        <f>T7+100</f>
        <v>793</v>
      </c>
      <c r="V7" t="s">
        <v>766</v>
      </c>
      <c r="X7" t="s">
        <v>768</v>
      </c>
      <c r="Y7">
        <v>4</v>
      </c>
      <c r="Z7" s="5">
        <v>32.5</v>
      </c>
      <c r="AA7" s="5">
        <f>Z7/AB7</f>
        <v>0.29276641743987025</v>
      </c>
      <c r="AB7" s="5">
        <v>111.01</v>
      </c>
      <c r="AC7" s="2">
        <v>45987</v>
      </c>
      <c r="AD7" s="2">
        <v>45987</v>
      </c>
      <c r="AE7" s="3">
        <v>0.50240740740740741</v>
      </c>
      <c r="AF7" t="s">
        <v>26</v>
      </c>
      <c r="AG7" t="s">
        <v>134</v>
      </c>
      <c r="AH7" t="s">
        <v>135</v>
      </c>
      <c r="AI7" t="s">
        <v>136</v>
      </c>
      <c r="AJ7" t="s">
        <v>137</v>
      </c>
      <c r="AK7" t="s">
        <v>138</v>
      </c>
      <c r="AL7" t="s">
        <v>139</v>
      </c>
      <c r="AM7" t="s">
        <v>140</v>
      </c>
      <c r="AN7" t="s">
        <v>141</v>
      </c>
      <c r="AO7" t="s">
        <v>142</v>
      </c>
      <c r="AP7" t="s">
        <v>143</v>
      </c>
    </row>
    <row r="8" spans="1:42" x14ac:dyDescent="0.2">
      <c r="A8" s="1" t="s">
        <v>168</v>
      </c>
      <c r="B8" s="1" t="s">
        <v>169</v>
      </c>
      <c r="C8" s="1" t="s">
        <v>170</v>
      </c>
      <c r="D8" s="1" t="s">
        <v>171</v>
      </c>
      <c r="E8" s="6" t="s">
        <v>785</v>
      </c>
      <c r="F8" s="6" t="s">
        <v>785</v>
      </c>
      <c r="G8" s="6">
        <v>684</v>
      </c>
      <c r="H8" s="6">
        <v>289</v>
      </c>
      <c r="I8" s="4" t="s">
        <v>776</v>
      </c>
      <c r="J8" s="4">
        <v>9.1999999999999998E-2</v>
      </c>
      <c r="K8" s="6"/>
      <c r="L8" s="6"/>
      <c r="M8" s="1" t="s">
        <v>133</v>
      </c>
      <c r="N8" s="1" t="s">
        <v>25</v>
      </c>
      <c r="O8" s="1" t="s">
        <v>779</v>
      </c>
      <c r="P8" s="1" t="s">
        <v>25</v>
      </c>
      <c r="Q8" s="1">
        <v>4</v>
      </c>
      <c r="R8" s="1">
        <v>4</v>
      </c>
      <c r="S8" s="1">
        <v>740</v>
      </c>
      <c r="T8" s="1">
        <v>792</v>
      </c>
      <c r="U8" s="1">
        <f>T8+100</f>
        <v>892</v>
      </c>
      <c r="V8" t="s">
        <v>766</v>
      </c>
      <c r="X8" t="s">
        <v>768</v>
      </c>
      <c r="Y8">
        <v>4</v>
      </c>
      <c r="Z8" s="5">
        <v>32.5</v>
      </c>
      <c r="AA8" s="5">
        <f>Z8/AB8</f>
        <v>0.29276641743987025</v>
      </c>
      <c r="AB8" s="5">
        <v>111.01</v>
      </c>
      <c r="AC8" s="2">
        <v>45987</v>
      </c>
      <c r="AD8" s="2">
        <v>45987</v>
      </c>
      <c r="AE8" s="3">
        <v>0.50225694444444446</v>
      </c>
      <c r="AF8" t="s">
        <v>26</v>
      </c>
      <c r="AG8" t="s">
        <v>134</v>
      </c>
      <c r="AH8" t="s">
        <v>135</v>
      </c>
      <c r="AI8" t="s">
        <v>136</v>
      </c>
      <c r="AJ8" t="s">
        <v>137</v>
      </c>
      <c r="AK8" t="s">
        <v>138</v>
      </c>
      <c r="AL8" t="s">
        <v>139</v>
      </c>
      <c r="AM8" t="s">
        <v>140</v>
      </c>
      <c r="AN8" t="s">
        <v>141</v>
      </c>
      <c r="AO8" t="s">
        <v>142</v>
      </c>
      <c r="AP8" t="s">
        <v>143</v>
      </c>
    </row>
    <row r="9" spans="1:42" x14ac:dyDescent="0.2">
      <c r="A9" s="1" t="s">
        <v>176</v>
      </c>
      <c r="B9" s="1" t="s">
        <v>177</v>
      </c>
      <c r="C9" s="1" t="s">
        <v>178</v>
      </c>
      <c r="D9" s="1" t="s">
        <v>179</v>
      </c>
      <c r="E9" s="6" t="s">
        <v>785</v>
      </c>
      <c r="F9" s="6" t="s">
        <v>785</v>
      </c>
      <c r="G9" s="6">
        <v>684</v>
      </c>
      <c r="H9" s="6">
        <v>289</v>
      </c>
      <c r="I9" s="4" t="s">
        <v>776</v>
      </c>
      <c r="J9" s="4">
        <v>0.15</v>
      </c>
      <c r="K9" s="6"/>
      <c r="L9" s="6"/>
      <c r="M9" s="1" t="s">
        <v>133</v>
      </c>
      <c r="N9" s="1" t="s">
        <v>25</v>
      </c>
      <c r="O9" s="1" t="s">
        <v>779</v>
      </c>
      <c r="P9" s="1" t="s">
        <v>25</v>
      </c>
      <c r="Q9" s="1">
        <v>4</v>
      </c>
      <c r="R9" s="1">
        <v>4</v>
      </c>
      <c r="S9" s="1">
        <v>686</v>
      </c>
      <c r="T9" s="1">
        <v>726</v>
      </c>
      <c r="U9" s="1">
        <f>T9+100</f>
        <v>826</v>
      </c>
      <c r="V9" t="s">
        <v>766</v>
      </c>
      <c r="X9" t="s">
        <v>768</v>
      </c>
      <c r="Y9">
        <v>4</v>
      </c>
      <c r="Z9" s="5">
        <v>32.5</v>
      </c>
      <c r="AA9" s="5">
        <f>Z9/AB9</f>
        <v>0.29276641743987025</v>
      </c>
      <c r="AB9" s="5">
        <v>111.01</v>
      </c>
      <c r="AC9" s="2">
        <v>45987</v>
      </c>
      <c r="AD9" s="2">
        <v>45987</v>
      </c>
      <c r="AE9" s="3">
        <v>0.50124999999999997</v>
      </c>
      <c r="AF9" t="s">
        <v>26</v>
      </c>
      <c r="AG9" t="s">
        <v>134</v>
      </c>
      <c r="AH9" t="s">
        <v>135</v>
      </c>
      <c r="AI9" t="s">
        <v>136</v>
      </c>
      <c r="AJ9" t="s">
        <v>137</v>
      </c>
      <c r="AK9" t="s">
        <v>138</v>
      </c>
      <c r="AL9" t="s">
        <v>139</v>
      </c>
      <c r="AM9" t="s">
        <v>140</v>
      </c>
      <c r="AN9" t="s">
        <v>141</v>
      </c>
      <c r="AO9" t="s">
        <v>142</v>
      </c>
      <c r="AP9" t="s">
        <v>143</v>
      </c>
    </row>
    <row r="10" spans="1:42" x14ac:dyDescent="0.2">
      <c r="A10" s="1" t="s">
        <v>180</v>
      </c>
      <c r="B10" s="1" t="s">
        <v>181</v>
      </c>
      <c r="C10" s="1" t="s">
        <v>182</v>
      </c>
      <c r="D10" s="1" t="s">
        <v>183</v>
      </c>
      <c r="E10" s="6" t="s">
        <v>785</v>
      </c>
      <c r="F10" s="6" t="s">
        <v>786</v>
      </c>
      <c r="G10" s="6">
        <v>684</v>
      </c>
      <c r="H10" s="6">
        <v>289</v>
      </c>
      <c r="I10" s="4" t="s">
        <v>776</v>
      </c>
      <c r="J10" s="4">
        <v>0.185</v>
      </c>
      <c r="K10" s="6"/>
      <c r="L10" s="6"/>
      <c r="M10" s="1" t="s">
        <v>133</v>
      </c>
      <c r="N10" s="1" t="s">
        <v>25</v>
      </c>
      <c r="O10" s="1" t="s">
        <v>779</v>
      </c>
      <c r="P10" s="1" t="s">
        <v>25</v>
      </c>
      <c r="Q10" s="1">
        <v>4</v>
      </c>
      <c r="R10" s="1">
        <v>4</v>
      </c>
      <c r="S10" s="1">
        <v>256</v>
      </c>
      <c r="T10" s="1">
        <v>297</v>
      </c>
      <c r="U10" s="1">
        <f>T10+100</f>
        <v>397</v>
      </c>
      <c r="V10" t="s">
        <v>766</v>
      </c>
      <c r="X10" t="s">
        <v>768</v>
      </c>
      <c r="Y10">
        <v>4</v>
      </c>
      <c r="Z10" s="5">
        <v>32.5</v>
      </c>
      <c r="AA10" s="5">
        <f>Z10/AB10</f>
        <v>0.29276641743987025</v>
      </c>
      <c r="AB10" s="5">
        <v>111.01</v>
      </c>
      <c r="AC10" s="2">
        <v>45987</v>
      </c>
      <c r="AD10" s="2">
        <v>45987</v>
      </c>
      <c r="AE10" s="3">
        <v>0.50087962962962962</v>
      </c>
      <c r="AF10" t="s">
        <v>26</v>
      </c>
      <c r="AG10" t="s">
        <v>134</v>
      </c>
      <c r="AH10" t="s">
        <v>135</v>
      </c>
      <c r="AI10" t="s">
        <v>136</v>
      </c>
      <c r="AJ10" t="s">
        <v>137</v>
      </c>
      <c r="AK10" t="s">
        <v>138</v>
      </c>
      <c r="AL10" t="s">
        <v>139</v>
      </c>
      <c r="AM10" t="s">
        <v>140</v>
      </c>
      <c r="AN10" t="s">
        <v>141</v>
      </c>
      <c r="AO10" t="s">
        <v>142</v>
      </c>
      <c r="AP10" t="s">
        <v>143</v>
      </c>
    </row>
    <row r="11" spans="1:42" x14ac:dyDescent="0.2">
      <c r="A11" s="1" t="s">
        <v>493</v>
      </c>
      <c r="B11" s="1" t="s">
        <v>494</v>
      </c>
      <c r="C11" s="1" t="s">
        <v>495</v>
      </c>
      <c r="D11" s="1" t="s">
        <v>496</v>
      </c>
      <c r="E11" s="6" t="s">
        <v>785</v>
      </c>
      <c r="F11" s="6" t="s">
        <v>785</v>
      </c>
      <c r="G11" s="6">
        <v>1488</v>
      </c>
      <c r="H11" s="6">
        <v>373</v>
      </c>
      <c r="I11" s="4" t="s">
        <v>776</v>
      </c>
      <c r="J11" s="4">
        <v>4.4999999999999998E-2</v>
      </c>
      <c r="K11" s="6"/>
      <c r="L11" s="6"/>
      <c r="M11" s="1" t="s">
        <v>133</v>
      </c>
      <c r="N11" s="1" t="s">
        <v>41</v>
      </c>
      <c r="O11" s="1" t="s">
        <v>780</v>
      </c>
      <c r="P11" s="1" t="s">
        <v>41</v>
      </c>
      <c r="Q11" s="1">
        <v>2</v>
      </c>
      <c r="R11" s="1">
        <v>2</v>
      </c>
      <c r="S11" s="1">
        <v>531</v>
      </c>
      <c r="T11" s="1">
        <v>564</v>
      </c>
      <c r="U11" s="1">
        <f>T11+100</f>
        <v>664</v>
      </c>
      <c r="V11" t="s">
        <v>767</v>
      </c>
      <c r="X11" t="s">
        <v>768</v>
      </c>
      <c r="Y11">
        <v>5</v>
      </c>
      <c r="Z11" s="5">
        <v>32.5</v>
      </c>
      <c r="AA11" s="5">
        <f>Z11/AB11</f>
        <v>0.3186243272124783</v>
      </c>
      <c r="AB11" s="5">
        <v>102.001</v>
      </c>
      <c r="AC11" s="2">
        <v>45987</v>
      </c>
      <c r="AD11" s="2">
        <v>45987</v>
      </c>
      <c r="AE11" s="3">
        <v>0.53341435185185182</v>
      </c>
      <c r="AF11" t="s">
        <v>188</v>
      </c>
      <c r="AG11" t="s">
        <v>134</v>
      </c>
      <c r="AH11" t="s">
        <v>135</v>
      </c>
      <c r="AI11" t="s">
        <v>136</v>
      </c>
      <c r="AJ11" t="s">
        <v>137</v>
      </c>
      <c r="AK11" t="s">
        <v>138</v>
      </c>
      <c r="AL11" t="s">
        <v>139</v>
      </c>
      <c r="AM11" t="s">
        <v>140</v>
      </c>
      <c r="AN11" t="s">
        <v>141</v>
      </c>
      <c r="AO11" t="s">
        <v>142</v>
      </c>
      <c r="AP11" t="s">
        <v>143</v>
      </c>
    </row>
    <row r="12" spans="1:42" x14ac:dyDescent="0.2">
      <c r="A12" s="1" t="s">
        <v>497</v>
      </c>
      <c r="B12" s="1" t="s">
        <v>498</v>
      </c>
      <c r="C12" s="1" t="s">
        <v>499</v>
      </c>
      <c r="D12" s="1" t="s">
        <v>500</v>
      </c>
      <c r="E12" s="6" t="s">
        <v>785</v>
      </c>
      <c r="F12" s="6" t="s">
        <v>785</v>
      </c>
      <c r="G12" s="6">
        <v>1488</v>
      </c>
      <c r="H12" s="6">
        <v>373</v>
      </c>
      <c r="I12" s="4" t="s">
        <v>776</v>
      </c>
      <c r="J12" s="4">
        <v>0.13800000000000001</v>
      </c>
      <c r="K12" s="6"/>
      <c r="L12" s="6"/>
      <c r="M12" s="1" t="s">
        <v>133</v>
      </c>
      <c r="N12" s="1" t="s">
        <v>41</v>
      </c>
      <c r="O12" s="1" t="s">
        <v>780</v>
      </c>
      <c r="P12" s="1" t="s">
        <v>41</v>
      </c>
      <c r="Q12" s="1">
        <v>2</v>
      </c>
      <c r="R12" s="1">
        <v>2</v>
      </c>
      <c r="S12" s="1">
        <v>160</v>
      </c>
      <c r="T12" s="1">
        <v>266</v>
      </c>
      <c r="U12" s="1">
        <f>T12+100</f>
        <v>366</v>
      </c>
      <c r="V12" t="s">
        <v>767</v>
      </c>
      <c r="X12" t="s">
        <v>768</v>
      </c>
      <c r="Y12">
        <v>5</v>
      </c>
      <c r="Z12" s="5">
        <v>32.5</v>
      </c>
      <c r="AA12" s="5">
        <f>Z12/AB12</f>
        <v>0.3186243272124783</v>
      </c>
      <c r="AB12" s="5">
        <v>102.001</v>
      </c>
      <c r="AC12" s="2">
        <v>45987</v>
      </c>
      <c r="AD12" s="2">
        <v>45987</v>
      </c>
      <c r="AE12" s="3">
        <v>0.53313657407407411</v>
      </c>
      <c r="AF12" t="s">
        <v>188</v>
      </c>
      <c r="AG12" t="s">
        <v>134</v>
      </c>
      <c r="AH12" t="s">
        <v>135</v>
      </c>
      <c r="AI12" t="s">
        <v>136</v>
      </c>
      <c r="AJ12" t="s">
        <v>137</v>
      </c>
      <c r="AK12" t="s">
        <v>138</v>
      </c>
      <c r="AL12" t="s">
        <v>139</v>
      </c>
      <c r="AM12" t="s">
        <v>140</v>
      </c>
      <c r="AN12" t="s">
        <v>141</v>
      </c>
      <c r="AO12" t="s">
        <v>142</v>
      </c>
      <c r="AP12" t="s">
        <v>143</v>
      </c>
    </row>
    <row r="13" spans="1:42" x14ac:dyDescent="0.2">
      <c r="A13" s="1" t="s">
        <v>501</v>
      </c>
      <c r="B13" s="1" t="s">
        <v>502</v>
      </c>
      <c r="C13" s="1" t="s">
        <v>503</v>
      </c>
      <c r="D13" s="1" t="s">
        <v>504</v>
      </c>
      <c r="E13" s="6" t="s">
        <v>785</v>
      </c>
      <c r="F13" s="6" t="s">
        <v>785</v>
      </c>
      <c r="G13" s="6">
        <v>1488</v>
      </c>
      <c r="H13" s="6">
        <v>373</v>
      </c>
      <c r="I13" s="4" t="s">
        <v>776</v>
      </c>
      <c r="J13" s="4">
        <v>0.04</v>
      </c>
      <c r="K13" s="6"/>
      <c r="L13" s="6"/>
      <c r="M13" s="1" t="s">
        <v>133</v>
      </c>
      <c r="N13" s="1" t="s">
        <v>41</v>
      </c>
      <c r="O13" s="1" t="s">
        <v>780</v>
      </c>
      <c r="P13" s="1" t="s">
        <v>41</v>
      </c>
      <c r="Q13" s="1">
        <v>2</v>
      </c>
      <c r="R13" s="1">
        <v>2</v>
      </c>
      <c r="S13" s="1">
        <v>367</v>
      </c>
      <c r="T13" s="1">
        <v>391</v>
      </c>
      <c r="U13" s="1">
        <f>T13+100</f>
        <v>491</v>
      </c>
      <c r="V13" t="s">
        <v>767</v>
      </c>
      <c r="X13" t="s">
        <v>768</v>
      </c>
      <c r="Y13">
        <v>5</v>
      </c>
      <c r="Z13" s="5">
        <v>32.5</v>
      </c>
      <c r="AA13" s="5">
        <f>Z13/AB13</f>
        <v>0.3186243272124783</v>
      </c>
      <c r="AB13" s="5">
        <v>102.001</v>
      </c>
      <c r="AC13" s="2">
        <v>45987</v>
      </c>
      <c r="AD13" s="2">
        <v>45987</v>
      </c>
      <c r="AE13" s="3">
        <v>0.5329976851851852</v>
      </c>
      <c r="AF13" t="s">
        <v>188</v>
      </c>
      <c r="AG13" t="s">
        <v>134</v>
      </c>
      <c r="AH13" t="s">
        <v>135</v>
      </c>
      <c r="AI13" t="s">
        <v>136</v>
      </c>
      <c r="AJ13" t="s">
        <v>137</v>
      </c>
      <c r="AK13" t="s">
        <v>138</v>
      </c>
      <c r="AL13" t="s">
        <v>139</v>
      </c>
      <c r="AM13" t="s">
        <v>140</v>
      </c>
      <c r="AN13" t="s">
        <v>141</v>
      </c>
      <c r="AO13" t="s">
        <v>142</v>
      </c>
      <c r="AP13" t="s">
        <v>143</v>
      </c>
    </row>
    <row r="14" spans="1:42" x14ac:dyDescent="0.2">
      <c r="A14" s="1" t="s">
        <v>505</v>
      </c>
      <c r="B14" s="1" t="s">
        <v>506</v>
      </c>
      <c r="C14" s="1" t="s">
        <v>507</v>
      </c>
      <c r="D14" s="1" t="s">
        <v>508</v>
      </c>
      <c r="E14" s="6" t="s">
        <v>785</v>
      </c>
      <c r="F14" s="6" t="s">
        <v>785</v>
      </c>
      <c r="G14" s="6">
        <v>1488</v>
      </c>
      <c r="H14" s="6">
        <v>373</v>
      </c>
      <c r="I14" s="4" t="s">
        <v>776</v>
      </c>
      <c r="J14" s="4">
        <v>9.8000000000000004E-2</v>
      </c>
      <c r="K14" s="6"/>
      <c r="L14" s="6"/>
      <c r="M14" s="1" t="s">
        <v>133</v>
      </c>
      <c r="N14" s="1" t="s">
        <v>41</v>
      </c>
      <c r="O14" s="1" t="s">
        <v>780</v>
      </c>
      <c r="P14" s="1" t="s">
        <v>41</v>
      </c>
      <c r="Q14" s="1">
        <v>2</v>
      </c>
      <c r="R14" s="1">
        <v>2</v>
      </c>
      <c r="S14" s="1">
        <v>464</v>
      </c>
      <c r="T14" s="1">
        <v>519</v>
      </c>
      <c r="U14" s="1">
        <f>T14+100</f>
        <v>619</v>
      </c>
      <c r="V14" t="s">
        <v>767</v>
      </c>
      <c r="X14" t="s">
        <v>768</v>
      </c>
      <c r="Y14">
        <v>5</v>
      </c>
      <c r="Z14" s="5">
        <v>32.5</v>
      </c>
      <c r="AA14" s="5">
        <f>Z14/AB14</f>
        <v>0.3186243272124783</v>
      </c>
      <c r="AB14" s="5">
        <v>102.001</v>
      </c>
      <c r="AC14" s="2">
        <v>45987</v>
      </c>
      <c r="AD14" s="2">
        <v>45987</v>
      </c>
      <c r="AE14" s="3">
        <v>0.53284722222222225</v>
      </c>
      <c r="AF14" t="s">
        <v>188</v>
      </c>
      <c r="AG14" t="s">
        <v>134</v>
      </c>
      <c r="AH14" t="s">
        <v>135</v>
      </c>
      <c r="AI14" t="s">
        <v>136</v>
      </c>
      <c r="AJ14" t="s">
        <v>137</v>
      </c>
      <c r="AK14" t="s">
        <v>138</v>
      </c>
      <c r="AL14" t="s">
        <v>139</v>
      </c>
      <c r="AM14" t="s">
        <v>140</v>
      </c>
      <c r="AN14" t="s">
        <v>141</v>
      </c>
      <c r="AO14" t="s">
        <v>142</v>
      </c>
      <c r="AP14" t="s">
        <v>143</v>
      </c>
    </row>
    <row r="15" spans="1:42" x14ac:dyDescent="0.2">
      <c r="A15" s="1" t="s">
        <v>509</v>
      </c>
      <c r="B15" s="1" t="s">
        <v>510</v>
      </c>
      <c r="C15" s="1" t="s">
        <v>511</v>
      </c>
      <c r="D15" s="1" t="s">
        <v>512</v>
      </c>
      <c r="E15" s="6" t="s">
        <v>785</v>
      </c>
      <c r="F15" s="6" t="s">
        <v>786</v>
      </c>
      <c r="G15" s="6">
        <v>1488</v>
      </c>
      <c r="H15" s="6">
        <v>373</v>
      </c>
      <c r="I15" s="4" t="s">
        <v>776</v>
      </c>
      <c r="J15" s="4">
        <v>9.6000000000000002E-2</v>
      </c>
      <c r="K15" s="6"/>
      <c r="L15" s="6"/>
      <c r="M15" s="1" t="s">
        <v>133</v>
      </c>
      <c r="N15" s="1" t="s">
        <v>41</v>
      </c>
      <c r="O15" s="1" t="s">
        <v>780</v>
      </c>
      <c r="P15" s="1" t="s">
        <v>41</v>
      </c>
      <c r="Q15" s="1">
        <v>2</v>
      </c>
      <c r="R15" s="1">
        <v>2</v>
      </c>
      <c r="S15" s="1">
        <v>358</v>
      </c>
      <c r="T15" s="1">
        <v>427</v>
      </c>
      <c r="U15" s="1">
        <f>T15+100</f>
        <v>527</v>
      </c>
      <c r="V15" t="s">
        <v>767</v>
      </c>
      <c r="X15" t="s">
        <v>768</v>
      </c>
      <c r="Y15">
        <v>5</v>
      </c>
      <c r="Z15" s="5">
        <v>32.5</v>
      </c>
      <c r="AA15" s="5">
        <f>Z15/AB15</f>
        <v>0.3186243272124783</v>
      </c>
      <c r="AB15" s="5">
        <v>102.001</v>
      </c>
      <c r="AC15" s="2">
        <v>45987</v>
      </c>
      <c r="AD15" s="2">
        <v>45987</v>
      </c>
      <c r="AE15" s="3">
        <v>0.53252314814814816</v>
      </c>
      <c r="AF15" t="s">
        <v>188</v>
      </c>
      <c r="AG15" t="s">
        <v>134</v>
      </c>
      <c r="AH15" t="s">
        <v>135</v>
      </c>
      <c r="AI15" t="s">
        <v>136</v>
      </c>
      <c r="AJ15" t="s">
        <v>137</v>
      </c>
      <c r="AK15" t="s">
        <v>138</v>
      </c>
      <c r="AL15" t="s">
        <v>139</v>
      </c>
      <c r="AM15" t="s">
        <v>140</v>
      </c>
      <c r="AN15" t="s">
        <v>141</v>
      </c>
      <c r="AO15" t="s">
        <v>142</v>
      </c>
      <c r="AP15" t="s">
        <v>143</v>
      </c>
    </row>
    <row r="16" spans="1:42" x14ac:dyDescent="0.2">
      <c r="A16" s="1" t="s">
        <v>513</v>
      </c>
      <c r="B16" s="1" t="s">
        <v>514</v>
      </c>
      <c r="C16" s="1" t="s">
        <v>515</v>
      </c>
      <c r="D16" s="1" t="s">
        <v>516</v>
      </c>
      <c r="E16" s="6" t="s">
        <v>785</v>
      </c>
      <c r="F16" s="6" t="s">
        <v>785</v>
      </c>
      <c r="G16" s="6">
        <v>1488</v>
      </c>
      <c r="H16" s="6">
        <v>373</v>
      </c>
      <c r="I16" s="4" t="s">
        <v>776</v>
      </c>
      <c r="J16" s="4">
        <v>7.0999999999999994E-2</v>
      </c>
      <c r="K16" s="6"/>
      <c r="L16" s="6"/>
      <c r="M16" s="1" t="s">
        <v>133</v>
      </c>
      <c r="N16" s="1" t="s">
        <v>41</v>
      </c>
      <c r="O16" s="1" t="s">
        <v>780</v>
      </c>
      <c r="P16" s="1" t="s">
        <v>41</v>
      </c>
      <c r="Q16" s="1">
        <v>2</v>
      </c>
      <c r="R16" s="1">
        <v>2</v>
      </c>
      <c r="S16" s="1">
        <v>306</v>
      </c>
      <c r="T16" s="1">
        <v>336</v>
      </c>
      <c r="U16" s="1">
        <f>T16+100</f>
        <v>436</v>
      </c>
      <c r="V16" t="s">
        <v>767</v>
      </c>
      <c r="X16" t="s">
        <v>768</v>
      </c>
      <c r="Y16">
        <v>5</v>
      </c>
      <c r="Z16" s="5">
        <v>32.5</v>
      </c>
      <c r="AA16" s="5">
        <f>Z16/AB16</f>
        <v>0.3186243272124783</v>
      </c>
      <c r="AB16" s="5">
        <v>102.001</v>
      </c>
      <c r="AC16" s="2">
        <v>45987</v>
      </c>
      <c r="AD16" s="2">
        <v>45987</v>
      </c>
      <c r="AE16" s="3">
        <v>0.53361111111111115</v>
      </c>
      <c r="AF16" t="s">
        <v>188</v>
      </c>
      <c r="AG16" t="s">
        <v>134</v>
      </c>
      <c r="AH16" t="s">
        <v>135</v>
      </c>
      <c r="AI16" t="s">
        <v>136</v>
      </c>
      <c r="AJ16" t="s">
        <v>137</v>
      </c>
      <c r="AK16" t="s">
        <v>138</v>
      </c>
      <c r="AL16" t="s">
        <v>139</v>
      </c>
      <c r="AM16" t="s">
        <v>140</v>
      </c>
      <c r="AN16" t="s">
        <v>141</v>
      </c>
      <c r="AO16" t="s">
        <v>142</v>
      </c>
      <c r="AP16" t="s">
        <v>143</v>
      </c>
    </row>
    <row r="17" spans="1:42" x14ac:dyDescent="0.2">
      <c r="A17" s="1" t="s">
        <v>537</v>
      </c>
      <c r="B17" s="1" t="s">
        <v>538</v>
      </c>
      <c r="C17" s="1" t="s">
        <v>539</v>
      </c>
      <c r="D17" s="1" t="s">
        <v>540</v>
      </c>
      <c r="E17" s="6" t="s">
        <v>785</v>
      </c>
      <c r="F17" s="6" t="s">
        <v>786</v>
      </c>
      <c r="G17" s="6">
        <v>1488</v>
      </c>
      <c r="H17" s="6">
        <v>373</v>
      </c>
      <c r="I17" s="4" t="s">
        <v>776</v>
      </c>
      <c r="J17" s="4">
        <v>8.8999999999999996E-2</v>
      </c>
      <c r="K17" s="6"/>
      <c r="L17" s="6"/>
      <c r="M17" s="1" t="s">
        <v>133</v>
      </c>
      <c r="N17" s="1" t="s">
        <v>41</v>
      </c>
      <c r="O17" s="1" t="s">
        <v>780</v>
      </c>
      <c r="P17" s="1" t="s">
        <v>41</v>
      </c>
      <c r="Q17" s="1">
        <v>2</v>
      </c>
      <c r="R17" s="1">
        <v>2</v>
      </c>
      <c r="S17" s="1">
        <v>462</v>
      </c>
      <c r="T17" s="1">
        <v>494</v>
      </c>
      <c r="U17" s="1">
        <f>T17+100</f>
        <v>594</v>
      </c>
      <c r="V17" t="s">
        <v>767</v>
      </c>
      <c r="X17" t="s">
        <v>768</v>
      </c>
      <c r="Y17">
        <v>5</v>
      </c>
      <c r="Z17" s="5">
        <v>32.5</v>
      </c>
      <c r="AA17" s="5">
        <f>Z17/AB17</f>
        <v>0.3186243272124783</v>
      </c>
      <c r="AB17" s="5">
        <v>102.001</v>
      </c>
      <c r="AC17" s="2">
        <v>45987</v>
      </c>
      <c r="AD17" s="2">
        <v>45987</v>
      </c>
      <c r="AE17" s="3">
        <v>0.53743055555555552</v>
      </c>
      <c r="AF17" t="s">
        <v>188</v>
      </c>
      <c r="AG17" t="s">
        <v>134</v>
      </c>
      <c r="AH17" t="s">
        <v>135</v>
      </c>
      <c r="AI17" t="s">
        <v>136</v>
      </c>
      <c r="AJ17" t="s">
        <v>137</v>
      </c>
      <c r="AK17" t="s">
        <v>138</v>
      </c>
      <c r="AL17" t="s">
        <v>139</v>
      </c>
      <c r="AM17" t="s">
        <v>140</v>
      </c>
      <c r="AN17" t="s">
        <v>141</v>
      </c>
      <c r="AO17" t="s">
        <v>142</v>
      </c>
      <c r="AP17" t="s">
        <v>143</v>
      </c>
    </row>
    <row r="18" spans="1:42" x14ac:dyDescent="0.2">
      <c r="A18" s="1" t="s">
        <v>541</v>
      </c>
      <c r="B18" s="1" t="s">
        <v>542</v>
      </c>
      <c r="C18" s="1" t="s">
        <v>543</v>
      </c>
      <c r="D18" s="1" t="s">
        <v>544</v>
      </c>
      <c r="E18" s="6" t="s">
        <v>785</v>
      </c>
      <c r="F18" s="6" t="s">
        <v>786</v>
      </c>
      <c r="G18" s="6">
        <v>1488</v>
      </c>
      <c r="H18" s="6">
        <v>373</v>
      </c>
      <c r="I18" s="4" t="s">
        <v>776</v>
      </c>
      <c r="J18" s="4">
        <v>9.1999999999999998E-2</v>
      </c>
      <c r="K18" s="6"/>
      <c r="L18" s="6"/>
      <c r="M18" s="1" t="s">
        <v>133</v>
      </c>
      <c r="N18" s="1" t="s">
        <v>41</v>
      </c>
      <c r="O18" s="1" t="s">
        <v>780</v>
      </c>
      <c r="P18" s="1" t="s">
        <v>41</v>
      </c>
      <c r="Q18" s="1">
        <v>2</v>
      </c>
      <c r="R18" s="1">
        <v>2</v>
      </c>
      <c r="S18" s="1">
        <v>455</v>
      </c>
      <c r="T18" s="1">
        <v>510</v>
      </c>
      <c r="U18" s="1">
        <f>T18+100</f>
        <v>610</v>
      </c>
      <c r="V18" t="s">
        <v>767</v>
      </c>
      <c r="X18" t="s">
        <v>768</v>
      </c>
      <c r="Y18">
        <v>5</v>
      </c>
      <c r="Z18" s="5">
        <v>32.5</v>
      </c>
      <c r="AA18" s="5">
        <f>Z18/AB18</f>
        <v>0.3186243272124783</v>
      </c>
      <c r="AB18" s="5">
        <v>102.001</v>
      </c>
      <c r="AC18" s="2">
        <v>45987</v>
      </c>
      <c r="AD18" s="2">
        <v>45987</v>
      </c>
      <c r="AE18" s="3">
        <v>0.53693287037037041</v>
      </c>
      <c r="AF18" t="s">
        <v>188</v>
      </c>
      <c r="AG18" t="s">
        <v>134</v>
      </c>
      <c r="AH18" t="s">
        <v>135</v>
      </c>
      <c r="AI18" t="s">
        <v>136</v>
      </c>
      <c r="AJ18" t="s">
        <v>137</v>
      </c>
      <c r="AK18" t="s">
        <v>138</v>
      </c>
      <c r="AL18" t="s">
        <v>139</v>
      </c>
      <c r="AM18" t="s">
        <v>140</v>
      </c>
      <c r="AN18" t="s">
        <v>141</v>
      </c>
      <c r="AO18" t="s">
        <v>142</v>
      </c>
      <c r="AP18" t="s">
        <v>143</v>
      </c>
    </row>
    <row r="19" spans="1:42" x14ac:dyDescent="0.2">
      <c r="A19" s="1" t="s">
        <v>545</v>
      </c>
      <c r="B19" s="1" t="s">
        <v>546</v>
      </c>
      <c r="C19" s="1" t="s">
        <v>547</v>
      </c>
      <c r="D19" s="1" t="s">
        <v>548</v>
      </c>
      <c r="E19" s="6" t="s">
        <v>785</v>
      </c>
      <c r="F19" s="6" t="s">
        <v>786</v>
      </c>
      <c r="G19" s="6">
        <v>1488</v>
      </c>
      <c r="H19" s="6">
        <v>373</v>
      </c>
      <c r="I19" s="4" t="s">
        <v>776</v>
      </c>
      <c r="J19" s="4">
        <v>7.8E-2</v>
      </c>
      <c r="K19" s="6"/>
      <c r="L19" s="6"/>
      <c r="M19" s="1" t="s">
        <v>133</v>
      </c>
      <c r="N19" s="1" t="s">
        <v>41</v>
      </c>
      <c r="O19" s="1" t="s">
        <v>780</v>
      </c>
      <c r="P19" s="1" t="s">
        <v>41</v>
      </c>
      <c r="Q19" s="1">
        <v>2</v>
      </c>
      <c r="R19" s="1">
        <v>2</v>
      </c>
      <c r="S19" s="1">
        <v>420</v>
      </c>
      <c r="T19" s="1">
        <v>511</v>
      </c>
      <c r="U19" s="1">
        <f>T19+100</f>
        <v>611</v>
      </c>
      <c r="V19" t="s">
        <v>767</v>
      </c>
      <c r="X19" t="s">
        <v>768</v>
      </c>
      <c r="Y19">
        <v>5</v>
      </c>
      <c r="Z19" s="5">
        <v>32.5</v>
      </c>
      <c r="AA19" s="5">
        <f>Z19/AB19</f>
        <v>0.3186243272124783</v>
      </c>
      <c r="AB19" s="5">
        <v>102.001</v>
      </c>
      <c r="AC19" s="2">
        <v>45987</v>
      </c>
      <c r="AD19" s="2">
        <v>45987</v>
      </c>
      <c r="AE19" s="3">
        <v>0.53660879629629632</v>
      </c>
      <c r="AF19" t="s">
        <v>188</v>
      </c>
      <c r="AG19" t="s">
        <v>134</v>
      </c>
      <c r="AH19" t="s">
        <v>135</v>
      </c>
      <c r="AI19" t="s">
        <v>136</v>
      </c>
      <c r="AJ19" t="s">
        <v>137</v>
      </c>
      <c r="AK19" t="s">
        <v>138</v>
      </c>
      <c r="AL19" t="s">
        <v>139</v>
      </c>
      <c r="AM19" t="s">
        <v>140</v>
      </c>
      <c r="AN19" t="s">
        <v>141</v>
      </c>
      <c r="AO19" t="s">
        <v>142</v>
      </c>
      <c r="AP19" t="s">
        <v>143</v>
      </c>
    </row>
    <row r="20" spans="1:42" x14ac:dyDescent="0.2">
      <c r="A20" s="1" t="s">
        <v>549</v>
      </c>
      <c r="B20" s="1" t="s">
        <v>550</v>
      </c>
      <c r="C20" s="1" t="s">
        <v>551</v>
      </c>
      <c r="D20" s="1" t="s">
        <v>552</v>
      </c>
      <c r="E20" s="6" t="s">
        <v>785</v>
      </c>
      <c r="F20" s="6" t="s">
        <v>786</v>
      </c>
      <c r="G20" s="6">
        <v>1488</v>
      </c>
      <c r="H20" s="6">
        <v>373</v>
      </c>
      <c r="I20" s="4" t="s">
        <v>776</v>
      </c>
      <c r="J20" s="4">
        <v>0.05</v>
      </c>
      <c r="K20" s="6"/>
      <c r="L20" s="6"/>
      <c r="M20" s="1" t="s">
        <v>133</v>
      </c>
      <c r="N20" s="1" t="s">
        <v>41</v>
      </c>
      <c r="O20" s="1" t="s">
        <v>780</v>
      </c>
      <c r="P20" s="1" t="s">
        <v>41</v>
      </c>
      <c r="Q20" s="1">
        <v>2</v>
      </c>
      <c r="R20" s="1">
        <v>2</v>
      </c>
      <c r="S20" s="1">
        <v>375</v>
      </c>
      <c r="T20" s="1">
        <v>542</v>
      </c>
      <c r="U20" s="1">
        <f>T20+100</f>
        <v>642</v>
      </c>
      <c r="V20" t="s">
        <v>767</v>
      </c>
      <c r="X20" t="s">
        <v>768</v>
      </c>
      <c r="Y20">
        <v>5</v>
      </c>
      <c r="Z20" s="5">
        <v>32.5</v>
      </c>
      <c r="AA20" s="5">
        <f>Z20/AB20</f>
        <v>0.3186243272124783</v>
      </c>
      <c r="AB20" s="5">
        <v>102.001</v>
      </c>
      <c r="AC20" s="2">
        <v>45987</v>
      </c>
      <c r="AD20" s="2">
        <v>45987</v>
      </c>
      <c r="AE20" s="3">
        <v>0.53645833333333337</v>
      </c>
      <c r="AF20" t="s">
        <v>188</v>
      </c>
      <c r="AG20" t="s">
        <v>134</v>
      </c>
      <c r="AH20" t="s">
        <v>135</v>
      </c>
      <c r="AI20" t="s">
        <v>136</v>
      </c>
      <c r="AJ20" t="s">
        <v>137</v>
      </c>
      <c r="AK20" t="s">
        <v>138</v>
      </c>
      <c r="AL20" t="s">
        <v>139</v>
      </c>
      <c r="AM20" t="s">
        <v>140</v>
      </c>
      <c r="AN20" t="s">
        <v>141</v>
      </c>
      <c r="AO20" t="s">
        <v>142</v>
      </c>
      <c r="AP20" t="s">
        <v>143</v>
      </c>
    </row>
    <row r="21" spans="1:42" x14ac:dyDescent="0.2">
      <c r="A21" s="1" t="s">
        <v>553</v>
      </c>
      <c r="B21" s="1" t="s">
        <v>554</v>
      </c>
      <c r="C21" s="1" t="s">
        <v>555</v>
      </c>
      <c r="D21" s="1" t="s">
        <v>556</v>
      </c>
      <c r="E21" s="6" t="s">
        <v>785</v>
      </c>
      <c r="F21" s="6" t="s">
        <v>786</v>
      </c>
      <c r="G21" s="6">
        <v>1488</v>
      </c>
      <c r="H21" s="6">
        <v>373</v>
      </c>
      <c r="I21" s="4" t="s">
        <v>776</v>
      </c>
      <c r="J21" s="4">
        <v>9.5000000000000001E-2</v>
      </c>
      <c r="K21" s="6"/>
      <c r="L21" s="6"/>
      <c r="M21" s="1" t="s">
        <v>133</v>
      </c>
      <c r="N21" s="1" t="s">
        <v>41</v>
      </c>
      <c r="O21" s="1" t="s">
        <v>780</v>
      </c>
      <c r="P21" s="1" t="s">
        <v>41</v>
      </c>
      <c r="Q21" s="1">
        <v>2</v>
      </c>
      <c r="R21" s="1">
        <v>2</v>
      </c>
      <c r="S21" s="1">
        <v>495</v>
      </c>
      <c r="T21" s="1">
        <v>517</v>
      </c>
      <c r="U21" s="1">
        <f>T21+100</f>
        <v>617</v>
      </c>
      <c r="V21" t="s">
        <v>767</v>
      </c>
      <c r="X21" t="s">
        <v>768</v>
      </c>
      <c r="Y21">
        <v>5</v>
      </c>
      <c r="Z21" s="5">
        <v>32.5</v>
      </c>
      <c r="AA21" s="5">
        <f>Z21/AB21</f>
        <v>0.3186243272124783</v>
      </c>
      <c r="AB21" s="5">
        <v>102.001</v>
      </c>
      <c r="AC21" s="2">
        <v>45987</v>
      </c>
      <c r="AD21" s="2">
        <v>45987</v>
      </c>
      <c r="AE21" s="3">
        <v>0.5358680555555555</v>
      </c>
      <c r="AF21" t="s">
        <v>188</v>
      </c>
      <c r="AG21" t="s">
        <v>134</v>
      </c>
      <c r="AH21" t="s">
        <v>135</v>
      </c>
      <c r="AI21" t="s">
        <v>136</v>
      </c>
      <c r="AJ21" t="s">
        <v>137</v>
      </c>
      <c r="AK21" t="s">
        <v>138</v>
      </c>
      <c r="AL21" t="s">
        <v>139</v>
      </c>
      <c r="AM21" t="s">
        <v>140</v>
      </c>
      <c r="AN21" t="s">
        <v>141</v>
      </c>
      <c r="AO21" t="s">
        <v>142</v>
      </c>
      <c r="AP21" t="s">
        <v>143</v>
      </c>
    </row>
    <row r="22" spans="1:42" x14ac:dyDescent="0.2">
      <c r="A22" s="1" t="s">
        <v>557</v>
      </c>
      <c r="B22" s="1" t="s">
        <v>558</v>
      </c>
      <c r="C22" s="1" t="s">
        <v>559</v>
      </c>
      <c r="D22" s="1" t="s">
        <v>560</v>
      </c>
      <c r="E22" s="6" t="s">
        <v>785</v>
      </c>
      <c r="F22" s="6" t="s">
        <v>786</v>
      </c>
      <c r="G22" s="6">
        <v>1488</v>
      </c>
      <c r="H22" s="6">
        <v>373</v>
      </c>
      <c r="I22" s="4" t="s">
        <v>776</v>
      </c>
      <c r="J22" s="4">
        <v>3.6999999999999998E-2</v>
      </c>
      <c r="K22" s="6"/>
      <c r="L22" s="6"/>
      <c r="M22" s="1" t="s">
        <v>133</v>
      </c>
      <c r="N22" s="1" t="s">
        <v>41</v>
      </c>
      <c r="O22" s="1" t="s">
        <v>780</v>
      </c>
      <c r="P22" s="1" t="s">
        <v>41</v>
      </c>
      <c r="Q22" s="1">
        <v>2</v>
      </c>
      <c r="R22" s="1">
        <v>2</v>
      </c>
      <c r="S22" s="1">
        <v>396</v>
      </c>
      <c r="T22" s="1">
        <v>585</v>
      </c>
      <c r="U22" s="1">
        <f>T22+100</f>
        <v>685</v>
      </c>
      <c r="V22" t="s">
        <v>767</v>
      </c>
      <c r="X22" t="s">
        <v>768</v>
      </c>
      <c r="Y22">
        <v>5</v>
      </c>
      <c r="Z22" s="5">
        <v>32.5</v>
      </c>
      <c r="AA22" s="5">
        <f>Z22/AB22</f>
        <v>0.3186243272124783</v>
      </c>
      <c r="AB22" s="5">
        <v>102.001</v>
      </c>
      <c r="AC22" s="2">
        <v>45987</v>
      </c>
      <c r="AD22" s="2">
        <v>45987</v>
      </c>
      <c r="AE22" s="3">
        <v>0.53567129629629628</v>
      </c>
      <c r="AF22" t="s">
        <v>188</v>
      </c>
      <c r="AG22" t="s">
        <v>134</v>
      </c>
      <c r="AH22" t="s">
        <v>135</v>
      </c>
      <c r="AI22" t="s">
        <v>136</v>
      </c>
      <c r="AJ22" t="s">
        <v>137</v>
      </c>
      <c r="AK22" t="s">
        <v>138</v>
      </c>
      <c r="AL22" t="s">
        <v>139</v>
      </c>
      <c r="AM22" t="s">
        <v>140</v>
      </c>
      <c r="AN22" t="s">
        <v>141</v>
      </c>
      <c r="AO22" t="s">
        <v>142</v>
      </c>
      <c r="AP22" t="s">
        <v>143</v>
      </c>
    </row>
    <row r="23" spans="1:42" x14ac:dyDescent="0.2">
      <c r="A23" s="1" t="s">
        <v>561</v>
      </c>
      <c r="B23" s="1" t="s">
        <v>562</v>
      </c>
      <c r="C23" s="1" t="s">
        <v>563</v>
      </c>
      <c r="D23" s="1" t="s">
        <v>564</v>
      </c>
      <c r="E23" s="6" t="s">
        <v>785</v>
      </c>
      <c r="F23" s="6" t="s">
        <v>785</v>
      </c>
      <c r="G23" s="6">
        <v>1488</v>
      </c>
      <c r="H23" s="6">
        <v>373</v>
      </c>
      <c r="I23" s="4" t="s">
        <v>776</v>
      </c>
      <c r="J23" s="4">
        <v>0.106</v>
      </c>
      <c r="K23" s="6"/>
      <c r="L23" s="6"/>
      <c r="M23" s="1" t="s">
        <v>133</v>
      </c>
      <c r="N23" s="1" t="s">
        <v>41</v>
      </c>
      <c r="O23" s="1" t="s">
        <v>780</v>
      </c>
      <c r="P23" s="1" t="s">
        <v>41</v>
      </c>
      <c r="Q23" s="1">
        <v>2</v>
      </c>
      <c r="R23" s="1">
        <v>2</v>
      </c>
      <c r="S23" s="1">
        <v>427</v>
      </c>
      <c r="T23" s="1">
        <v>513</v>
      </c>
      <c r="U23" s="1">
        <f>T23+100</f>
        <v>613</v>
      </c>
      <c r="V23" t="s">
        <v>767</v>
      </c>
      <c r="X23" t="s">
        <v>768</v>
      </c>
      <c r="Y23">
        <v>5</v>
      </c>
      <c r="Z23" s="5">
        <v>32.5</v>
      </c>
      <c r="AA23" s="5">
        <f>Z23/AB23</f>
        <v>0.3186243272124783</v>
      </c>
      <c r="AB23" s="5">
        <v>102.001</v>
      </c>
      <c r="AC23" s="2">
        <v>45987</v>
      </c>
      <c r="AD23" s="2">
        <v>45987</v>
      </c>
      <c r="AE23" s="3">
        <v>0.53545138888888888</v>
      </c>
      <c r="AF23" t="s">
        <v>188</v>
      </c>
      <c r="AG23" t="s">
        <v>134</v>
      </c>
      <c r="AH23" t="s">
        <v>135</v>
      </c>
      <c r="AI23" t="s">
        <v>136</v>
      </c>
      <c r="AJ23" t="s">
        <v>137</v>
      </c>
      <c r="AK23" t="s">
        <v>138</v>
      </c>
      <c r="AL23" t="s">
        <v>139</v>
      </c>
      <c r="AM23" t="s">
        <v>140</v>
      </c>
      <c r="AN23" t="s">
        <v>141</v>
      </c>
      <c r="AO23" t="s">
        <v>142</v>
      </c>
      <c r="AP23" t="s">
        <v>143</v>
      </c>
    </row>
    <row r="24" spans="1:42" x14ac:dyDescent="0.2">
      <c r="A24" s="1" t="s">
        <v>565</v>
      </c>
      <c r="B24" s="1" t="s">
        <v>566</v>
      </c>
      <c r="C24" s="1" t="s">
        <v>567</v>
      </c>
      <c r="D24" s="1" t="s">
        <v>568</v>
      </c>
      <c r="E24" s="6" t="s">
        <v>785</v>
      </c>
      <c r="F24" s="6" t="s">
        <v>785</v>
      </c>
      <c r="G24" s="6">
        <v>1488</v>
      </c>
      <c r="H24" s="6">
        <v>373</v>
      </c>
      <c r="I24" s="4" t="s">
        <v>776</v>
      </c>
      <c r="J24" s="4">
        <v>0.105</v>
      </c>
      <c r="K24" s="6"/>
      <c r="L24" s="6"/>
      <c r="M24" s="1" t="s">
        <v>133</v>
      </c>
      <c r="N24" s="1" t="s">
        <v>41</v>
      </c>
      <c r="O24" s="1" t="s">
        <v>780</v>
      </c>
      <c r="P24" s="1" t="s">
        <v>41</v>
      </c>
      <c r="Q24" s="1">
        <v>2</v>
      </c>
      <c r="R24" s="1">
        <v>2</v>
      </c>
      <c r="S24" s="1">
        <v>317</v>
      </c>
      <c r="T24" s="1">
        <v>517</v>
      </c>
      <c r="U24" s="1">
        <f>T24+100</f>
        <v>617</v>
      </c>
      <c r="V24" t="s">
        <v>767</v>
      </c>
      <c r="X24" t="s">
        <v>768</v>
      </c>
      <c r="Y24">
        <v>5</v>
      </c>
      <c r="Z24" s="5">
        <v>32.5</v>
      </c>
      <c r="AA24" s="5">
        <f>Z24/AB24</f>
        <v>0.3186243272124783</v>
      </c>
      <c r="AB24" s="5">
        <v>102.001</v>
      </c>
      <c r="AC24" s="2">
        <v>45987</v>
      </c>
      <c r="AD24" s="2">
        <v>45987</v>
      </c>
      <c r="AE24" s="3">
        <v>0.53509259259259256</v>
      </c>
      <c r="AF24" t="s">
        <v>188</v>
      </c>
      <c r="AG24" t="s">
        <v>134</v>
      </c>
      <c r="AH24" t="s">
        <v>135</v>
      </c>
      <c r="AI24" t="s">
        <v>136</v>
      </c>
      <c r="AJ24" t="s">
        <v>137</v>
      </c>
      <c r="AK24" t="s">
        <v>138</v>
      </c>
      <c r="AL24" t="s">
        <v>139</v>
      </c>
      <c r="AM24" t="s">
        <v>140</v>
      </c>
      <c r="AN24" t="s">
        <v>141</v>
      </c>
      <c r="AO24" t="s">
        <v>142</v>
      </c>
      <c r="AP24" t="s">
        <v>143</v>
      </c>
    </row>
    <row r="25" spans="1:42" x14ac:dyDescent="0.2">
      <c r="A25" s="1" t="s">
        <v>569</v>
      </c>
      <c r="B25" s="1" t="s">
        <v>570</v>
      </c>
      <c r="C25" s="1" t="s">
        <v>571</v>
      </c>
      <c r="D25" s="1" t="s">
        <v>572</v>
      </c>
      <c r="E25" s="6" t="s">
        <v>785</v>
      </c>
      <c r="F25" s="6" t="s">
        <v>785</v>
      </c>
      <c r="G25" s="6">
        <v>1488</v>
      </c>
      <c r="H25" s="6">
        <v>373</v>
      </c>
      <c r="I25" s="4" t="s">
        <v>776</v>
      </c>
      <c r="J25" s="4">
        <v>0.129</v>
      </c>
      <c r="K25" s="6"/>
      <c r="L25" s="6"/>
      <c r="M25" s="1" t="s">
        <v>133</v>
      </c>
      <c r="N25" s="1" t="s">
        <v>41</v>
      </c>
      <c r="O25" s="1" t="s">
        <v>780</v>
      </c>
      <c r="P25" s="1" t="s">
        <v>41</v>
      </c>
      <c r="Q25" s="1">
        <v>2</v>
      </c>
      <c r="R25" s="1">
        <v>2</v>
      </c>
      <c r="S25" s="1">
        <v>430</v>
      </c>
      <c r="T25" s="1">
        <v>468</v>
      </c>
      <c r="U25" s="1">
        <f>T25+100</f>
        <v>568</v>
      </c>
      <c r="V25" t="s">
        <v>767</v>
      </c>
      <c r="X25" t="s">
        <v>768</v>
      </c>
      <c r="Y25">
        <v>5</v>
      </c>
      <c r="Z25" s="5">
        <v>32.5</v>
      </c>
      <c r="AA25" s="5">
        <f>Z25/AB25</f>
        <v>0.3186243272124783</v>
      </c>
      <c r="AB25" s="5">
        <v>102.001</v>
      </c>
      <c r="AC25" s="2">
        <v>45987</v>
      </c>
      <c r="AD25" s="2">
        <v>45987</v>
      </c>
      <c r="AE25" s="3">
        <v>0.53494212962962961</v>
      </c>
      <c r="AF25" t="s">
        <v>188</v>
      </c>
      <c r="AG25" t="s">
        <v>134</v>
      </c>
      <c r="AH25" t="s">
        <v>135</v>
      </c>
      <c r="AI25" t="s">
        <v>136</v>
      </c>
      <c r="AJ25" t="s">
        <v>137</v>
      </c>
      <c r="AK25" t="s">
        <v>138</v>
      </c>
      <c r="AL25" t="s">
        <v>139</v>
      </c>
      <c r="AM25" t="s">
        <v>140</v>
      </c>
      <c r="AN25" t="s">
        <v>141</v>
      </c>
      <c r="AO25" t="s">
        <v>142</v>
      </c>
      <c r="AP25" t="s">
        <v>143</v>
      </c>
    </row>
    <row r="26" spans="1:42" x14ac:dyDescent="0.2">
      <c r="A26" s="1" t="s">
        <v>573</v>
      </c>
      <c r="B26" s="1" t="s">
        <v>574</v>
      </c>
      <c r="C26" s="1" t="s">
        <v>575</v>
      </c>
      <c r="D26" s="1" t="s">
        <v>576</v>
      </c>
      <c r="E26" s="6" t="s">
        <v>785</v>
      </c>
      <c r="F26" s="6" t="s">
        <v>786</v>
      </c>
      <c r="G26" s="6">
        <v>1488</v>
      </c>
      <c r="H26" s="6">
        <v>373</v>
      </c>
      <c r="I26" s="4" t="s">
        <v>776</v>
      </c>
      <c r="J26" s="4">
        <v>0.16500000000000001</v>
      </c>
      <c r="K26" s="6"/>
      <c r="L26" s="6"/>
      <c r="M26" s="1" t="s">
        <v>133</v>
      </c>
      <c r="N26" s="1" t="s">
        <v>41</v>
      </c>
      <c r="O26" s="1" t="s">
        <v>780</v>
      </c>
      <c r="P26" s="1" t="s">
        <v>41</v>
      </c>
      <c r="Q26" s="1">
        <v>2</v>
      </c>
      <c r="R26" s="1">
        <v>2</v>
      </c>
      <c r="S26" s="1">
        <v>494</v>
      </c>
      <c r="T26" s="1">
        <v>564</v>
      </c>
      <c r="U26" s="1">
        <f>T26+100</f>
        <v>664</v>
      </c>
      <c r="V26" t="s">
        <v>767</v>
      </c>
      <c r="X26" t="s">
        <v>768</v>
      </c>
      <c r="Y26">
        <v>5</v>
      </c>
      <c r="Z26" s="5">
        <v>32.5</v>
      </c>
      <c r="AA26" s="5">
        <f>Z26/AB26</f>
        <v>0.3186243272124783</v>
      </c>
      <c r="AB26" s="5">
        <v>102.001</v>
      </c>
      <c r="AC26" s="2">
        <v>45987</v>
      </c>
      <c r="AD26" s="2">
        <v>45987</v>
      </c>
      <c r="AE26" s="3">
        <v>0.53471064814814817</v>
      </c>
      <c r="AF26" t="s">
        <v>188</v>
      </c>
      <c r="AG26" t="s">
        <v>134</v>
      </c>
      <c r="AH26" t="s">
        <v>135</v>
      </c>
      <c r="AI26" t="s">
        <v>136</v>
      </c>
      <c r="AJ26" t="s">
        <v>137</v>
      </c>
      <c r="AK26" t="s">
        <v>138</v>
      </c>
      <c r="AL26" t="s">
        <v>139</v>
      </c>
      <c r="AM26" t="s">
        <v>140</v>
      </c>
      <c r="AN26" t="s">
        <v>141</v>
      </c>
      <c r="AO26" t="s">
        <v>142</v>
      </c>
      <c r="AP26" t="s">
        <v>143</v>
      </c>
    </row>
    <row r="27" spans="1:42" x14ac:dyDescent="0.2">
      <c r="A27" s="1" t="s">
        <v>577</v>
      </c>
      <c r="B27" s="1" t="s">
        <v>578</v>
      </c>
      <c r="C27" s="1" t="s">
        <v>579</v>
      </c>
      <c r="D27" s="1" t="s">
        <v>580</v>
      </c>
      <c r="E27" s="6" t="s">
        <v>785</v>
      </c>
      <c r="F27" s="6" t="s">
        <v>786</v>
      </c>
      <c r="G27" s="6">
        <v>1488</v>
      </c>
      <c r="H27" s="6">
        <v>373</v>
      </c>
      <c r="I27" s="4" t="s">
        <v>776</v>
      </c>
      <c r="J27" s="4">
        <v>0.14000000000000001</v>
      </c>
      <c r="K27" s="6"/>
      <c r="L27" s="6"/>
      <c r="M27" s="1" t="s">
        <v>133</v>
      </c>
      <c r="N27" s="1" t="s">
        <v>41</v>
      </c>
      <c r="O27" s="1" t="s">
        <v>780</v>
      </c>
      <c r="P27" s="1" t="s">
        <v>41</v>
      </c>
      <c r="Q27" s="1">
        <v>2</v>
      </c>
      <c r="R27" s="1">
        <v>2</v>
      </c>
      <c r="S27" s="1">
        <v>484</v>
      </c>
      <c r="T27" s="1">
        <v>547</v>
      </c>
      <c r="U27" s="1">
        <f>T27+100</f>
        <v>647</v>
      </c>
      <c r="V27" t="s">
        <v>767</v>
      </c>
      <c r="X27" t="s">
        <v>768</v>
      </c>
      <c r="Y27">
        <v>5</v>
      </c>
      <c r="Z27" s="5">
        <v>32.5</v>
      </c>
      <c r="AA27" s="5">
        <f>Z27/AB27</f>
        <v>0.3186243272124783</v>
      </c>
      <c r="AB27" s="5">
        <v>102.001</v>
      </c>
      <c r="AC27" s="2">
        <v>45987</v>
      </c>
      <c r="AD27" s="2">
        <v>45987</v>
      </c>
      <c r="AE27" s="3">
        <v>0.53457175925925926</v>
      </c>
      <c r="AF27" t="s">
        <v>188</v>
      </c>
      <c r="AG27" t="s">
        <v>134</v>
      </c>
      <c r="AH27" t="s">
        <v>135</v>
      </c>
      <c r="AI27" t="s">
        <v>136</v>
      </c>
      <c r="AJ27" t="s">
        <v>137</v>
      </c>
      <c r="AK27" t="s">
        <v>138</v>
      </c>
      <c r="AL27" t="s">
        <v>139</v>
      </c>
      <c r="AM27" t="s">
        <v>140</v>
      </c>
      <c r="AN27" t="s">
        <v>141</v>
      </c>
      <c r="AO27" t="s">
        <v>142</v>
      </c>
      <c r="AP27" t="s">
        <v>143</v>
      </c>
    </row>
    <row r="28" spans="1:42" x14ac:dyDescent="0.2">
      <c r="A28" s="1" t="s">
        <v>581</v>
      </c>
      <c r="B28" s="1" t="s">
        <v>582</v>
      </c>
      <c r="C28" s="1" t="s">
        <v>583</v>
      </c>
      <c r="D28" s="1" t="s">
        <v>584</v>
      </c>
      <c r="E28" s="6" t="s">
        <v>785</v>
      </c>
      <c r="F28" s="6" t="s">
        <v>785</v>
      </c>
      <c r="G28" s="6">
        <v>1488</v>
      </c>
      <c r="H28" s="6">
        <v>373</v>
      </c>
      <c r="I28" s="4" t="s">
        <v>776</v>
      </c>
      <c r="J28" s="4">
        <v>0.13800000000000001</v>
      </c>
      <c r="K28" s="6"/>
      <c r="L28" s="6"/>
      <c r="M28" s="1" t="s">
        <v>133</v>
      </c>
      <c r="N28" s="1" t="s">
        <v>41</v>
      </c>
      <c r="O28" s="1" t="s">
        <v>780</v>
      </c>
      <c r="P28" s="1" t="s">
        <v>41</v>
      </c>
      <c r="Q28" s="1">
        <v>2</v>
      </c>
      <c r="R28" s="1">
        <v>2</v>
      </c>
      <c r="S28" s="1">
        <v>499</v>
      </c>
      <c r="T28" s="1">
        <v>534</v>
      </c>
      <c r="U28" s="1">
        <f>T28+100</f>
        <v>634</v>
      </c>
      <c r="V28" t="s">
        <v>767</v>
      </c>
      <c r="X28" t="s">
        <v>768</v>
      </c>
      <c r="Y28">
        <v>5</v>
      </c>
      <c r="Z28" s="5">
        <v>32.5</v>
      </c>
      <c r="AA28" s="5">
        <f>Z28/AB28</f>
        <v>0.3186243272124783</v>
      </c>
      <c r="AB28" s="5">
        <v>102.001</v>
      </c>
      <c r="AC28" s="2">
        <v>45987</v>
      </c>
      <c r="AD28" s="2">
        <v>45987</v>
      </c>
      <c r="AE28" s="3">
        <v>0.53446759259259258</v>
      </c>
      <c r="AF28" t="s">
        <v>188</v>
      </c>
      <c r="AG28" t="s">
        <v>134</v>
      </c>
      <c r="AH28" t="s">
        <v>135</v>
      </c>
      <c r="AI28" t="s">
        <v>136</v>
      </c>
      <c r="AJ28" t="s">
        <v>137</v>
      </c>
      <c r="AK28" t="s">
        <v>138</v>
      </c>
      <c r="AL28" t="s">
        <v>139</v>
      </c>
      <c r="AM28" t="s">
        <v>140</v>
      </c>
      <c r="AN28" t="s">
        <v>141</v>
      </c>
      <c r="AO28" t="s">
        <v>142</v>
      </c>
      <c r="AP28" t="s">
        <v>143</v>
      </c>
    </row>
    <row r="29" spans="1:42" x14ac:dyDescent="0.2">
      <c r="A29" s="1" t="s">
        <v>733</v>
      </c>
      <c r="B29" s="1" t="s">
        <v>734</v>
      </c>
      <c r="C29" s="1" t="s">
        <v>735</v>
      </c>
      <c r="D29" s="1" t="s">
        <v>736</v>
      </c>
      <c r="E29" s="6" t="s">
        <v>785</v>
      </c>
      <c r="F29" s="6" t="s">
        <v>785</v>
      </c>
      <c r="G29" s="6">
        <v>1488</v>
      </c>
      <c r="H29" s="6">
        <v>373</v>
      </c>
      <c r="I29" s="4" t="s">
        <v>776</v>
      </c>
      <c r="J29" s="4">
        <v>0.25600000000000001</v>
      </c>
      <c r="K29" s="6"/>
      <c r="L29" s="6"/>
      <c r="M29" s="1" t="s">
        <v>133</v>
      </c>
      <c r="N29" s="1" t="s">
        <v>25</v>
      </c>
      <c r="O29" s="1" t="s">
        <v>779</v>
      </c>
      <c r="P29" s="1" t="s">
        <v>25</v>
      </c>
      <c r="Q29" s="1">
        <v>3</v>
      </c>
      <c r="R29" s="1">
        <v>3</v>
      </c>
      <c r="S29" s="1">
        <v>356</v>
      </c>
      <c r="T29" s="1">
        <v>408</v>
      </c>
      <c r="U29" s="1">
        <f>T29+100</f>
        <v>508</v>
      </c>
      <c r="V29" t="s">
        <v>767</v>
      </c>
      <c r="X29" t="s">
        <v>768</v>
      </c>
      <c r="Y29">
        <v>5</v>
      </c>
      <c r="Z29" s="5">
        <v>32.5</v>
      </c>
      <c r="AA29" s="5">
        <f>Z29/AB29</f>
        <v>0.3186243272124783</v>
      </c>
      <c r="AB29" s="5">
        <v>102.001</v>
      </c>
      <c r="AC29" s="2">
        <v>45987</v>
      </c>
      <c r="AD29" s="2">
        <v>45987</v>
      </c>
      <c r="AE29" s="3">
        <v>0.48752314814814812</v>
      </c>
      <c r="AF29" t="s">
        <v>188</v>
      </c>
      <c r="AG29" t="s">
        <v>134</v>
      </c>
      <c r="AH29" t="s">
        <v>135</v>
      </c>
      <c r="AI29" t="s">
        <v>136</v>
      </c>
      <c r="AJ29" t="s">
        <v>137</v>
      </c>
      <c r="AK29" t="s">
        <v>138</v>
      </c>
      <c r="AL29" t="s">
        <v>139</v>
      </c>
      <c r="AM29" t="s">
        <v>140</v>
      </c>
      <c r="AN29" t="s">
        <v>141</v>
      </c>
      <c r="AO29" t="s">
        <v>142</v>
      </c>
      <c r="AP29" t="s">
        <v>143</v>
      </c>
    </row>
    <row r="30" spans="1:42" x14ac:dyDescent="0.2">
      <c r="A30" s="1" t="s">
        <v>753</v>
      </c>
      <c r="B30" s="1" t="s">
        <v>754</v>
      </c>
      <c r="C30" s="1" t="s">
        <v>755</v>
      </c>
      <c r="D30" s="1" t="s">
        <v>756</v>
      </c>
      <c r="E30" s="6" t="s">
        <v>785</v>
      </c>
      <c r="F30" s="6" t="s">
        <v>785</v>
      </c>
      <c r="G30" s="6">
        <v>1488</v>
      </c>
      <c r="H30" s="6">
        <v>373</v>
      </c>
      <c r="I30" s="4" t="s">
        <v>776</v>
      </c>
      <c r="J30" s="4"/>
      <c r="K30" s="6"/>
      <c r="L30" s="6"/>
      <c r="M30" s="1" t="s">
        <v>133</v>
      </c>
      <c r="N30" s="1" t="s">
        <v>25</v>
      </c>
      <c r="O30" s="1" t="s">
        <v>779</v>
      </c>
      <c r="P30" s="1" t="s">
        <v>25</v>
      </c>
      <c r="Q30" s="1">
        <v>3</v>
      </c>
      <c r="R30" s="1">
        <v>3</v>
      </c>
      <c r="S30" s="1">
        <v>732</v>
      </c>
      <c r="T30" s="1">
        <v>759</v>
      </c>
      <c r="U30" s="1">
        <f>T30+100</f>
        <v>859</v>
      </c>
      <c r="V30" t="s">
        <v>767</v>
      </c>
      <c r="W30" t="s">
        <v>767</v>
      </c>
      <c r="X30" t="s">
        <v>768</v>
      </c>
      <c r="Y30">
        <v>5</v>
      </c>
      <c r="Z30" s="5">
        <v>32.5</v>
      </c>
      <c r="AA30" s="5">
        <f>Z30/AB30</f>
        <v>0.3186243272124783</v>
      </c>
      <c r="AB30" s="5">
        <v>102.001</v>
      </c>
      <c r="AC30" s="2">
        <v>45987</v>
      </c>
      <c r="AD30" s="2">
        <v>45987</v>
      </c>
      <c r="AE30" s="3">
        <v>0.48119212962962965</v>
      </c>
      <c r="AF30" t="s">
        <v>188</v>
      </c>
      <c r="AG30" t="s">
        <v>134</v>
      </c>
      <c r="AH30" t="s">
        <v>135</v>
      </c>
      <c r="AI30" t="s">
        <v>136</v>
      </c>
      <c r="AJ30" t="s">
        <v>137</v>
      </c>
      <c r="AK30" t="s">
        <v>138</v>
      </c>
      <c r="AL30" t="s">
        <v>139</v>
      </c>
      <c r="AM30" t="s">
        <v>140</v>
      </c>
      <c r="AN30" t="s">
        <v>141</v>
      </c>
      <c r="AO30" t="s">
        <v>142</v>
      </c>
      <c r="AP30" t="s">
        <v>143</v>
      </c>
    </row>
    <row r="31" spans="1:42" x14ac:dyDescent="0.2">
      <c r="A31" s="1" t="s">
        <v>757</v>
      </c>
      <c r="B31" s="1" t="s">
        <v>758</v>
      </c>
      <c r="C31" s="1" t="s">
        <v>759</v>
      </c>
      <c r="D31" s="1" t="s">
        <v>760</v>
      </c>
      <c r="E31" s="6" t="s">
        <v>785</v>
      </c>
      <c r="F31" s="6" t="s">
        <v>785</v>
      </c>
      <c r="G31" s="6">
        <v>1488</v>
      </c>
      <c r="H31" s="6">
        <v>373</v>
      </c>
      <c r="I31" s="4" t="s">
        <v>776</v>
      </c>
      <c r="J31" s="4">
        <v>0.08</v>
      </c>
      <c r="K31" s="6"/>
      <c r="L31" s="6"/>
      <c r="M31" s="1" t="s">
        <v>133</v>
      </c>
      <c r="N31" s="1" t="s">
        <v>25</v>
      </c>
      <c r="O31" s="1" t="s">
        <v>779</v>
      </c>
      <c r="P31" s="1" t="s">
        <v>25</v>
      </c>
      <c r="Q31" s="1">
        <v>3</v>
      </c>
      <c r="R31" s="1">
        <v>3</v>
      </c>
      <c r="S31" s="1">
        <v>727</v>
      </c>
      <c r="T31" s="1">
        <v>780</v>
      </c>
      <c r="U31" s="1">
        <f>T31+100</f>
        <v>880</v>
      </c>
      <c r="V31" t="s">
        <v>767</v>
      </c>
      <c r="W31" t="s">
        <v>767</v>
      </c>
      <c r="X31" t="s">
        <v>768</v>
      </c>
      <c r="Y31">
        <v>5</v>
      </c>
      <c r="Z31" s="5">
        <v>32.5</v>
      </c>
      <c r="AA31" s="5">
        <f>Z31/AB31</f>
        <v>0.3186243272124783</v>
      </c>
      <c r="AB31" s="5">
        <v>102.001</v>
      </c>
      <c r="AC31" s="2">
        <v>45987</v>
      </c>
      <c r="AD31" s="2">
        <v>45987</v>
      </c>
      <c r="AE31" s="3">
        <v>0.48173611111111109</v>
      </c>
      <c r="AF31" t="s">
        <v>188</v>
      </c>
      <c r="AG31" t="s">
        <v>134</v>
      </c>
      <c r="AH31" t="s">
        <v>135</v>
      </c>
      <c r="AI31" t="s">
        <v>136</v>
      </c>
      <c r="AJ31" t="s">
        <v>137</v>
      </c>
      <c r="AK31" t="s">
        <v>138</v>
      </c>
      <c r="AL31" t="s">
        <v>139</v>
      </c>
      <c r="AM31" t="s">
        <v>140</v>
      </c>
      <c r="AN31" t="s">
        <v>141</v>
      </c>
      <c r="AO31" t="s">
        <v>142</v>
      </c>
      <c r="AP31" t="s">
        <v>143</v>
      </c>
    </row>
    <row r="32" spans="1:42" x14ac:dyDescent="0.2">
      <c r="A32" s="1" t="s">
        <v>761</v>
      </c>
      <c r="B32" s="1" t="s">
        <v>762</v>
      </c>
      <c r="C32" s="1" t="s">
        <v>763</v>
      </c>
      <c r="D32" s="1" t="s">
        <v>764</v>
      </c>
      <c r="E32" s="6" t="s">
        <v>785</v>
      </c>
      <c r="F32" s="6" t="s">
        <v>785</v>
      </c>
      <c r="G32" s="6">
        <v>1488</v>
      </c>
      <c r="H32" s="6">
        <v>373</v>
      </c>
      <c r="I32" s="4" t="s">
        <v>776</v>
      </c>
      <c r="J32" s="4">
        <v>0.155</v>
      </c>
      <c r="K32" s="6"/>
      <c r="L32" s="6"/>
      <c r="M32" s="1" t="s">
        <v>133</v>
      </c>
      <c r="N32" s="1" t="s">
        <v>25</v>
      </c>
      <c r="O32" s="1" t="s">
        <v>779</v>
      </c>
      <c r="P32" s="1" t="s">
        <v>25</v>
      </c>
      <c r="Q32" s="1">
        <v>3</v>
      </c>
      <c r="R32" s="1">
        <v>3</v>
      </c>
      <c r="S32" s="1">
        <v>476</v>
      </c>
      <c r="T32" s="1">
        <v>534</v>
      </c>
      <c r="U32" s="1">
        <f>T32+100</f>
        <v>634</v>
      </c>
      <c r="V32" t="s">
        <v>767</v>
      </c>
      <c r="X32" t="s">
        <v>768</v>
      </c>
      <c r="Y32">
        <v>5</v>
      </c>
      <c r="Z32" s="5">
        <v>32.5</v>
      </c>
      <c r="AA32" s="5">
        <f>Z32/AB32</f>
        <v>0.3186243272124783</v>
      </c>
      <c r="AB32" s="5">
        <v>102.001</v>
      </c>
      <c r="AC32" s="2">
        <v>45987</v>
      </c>
      <c r="AD32" s="2">
        <v>45987</v>
      </c>
      <c r="AE32" s="3">
        <v>0.48731481481481481</v>
      </c>
      <c r="AF32" t="s">
        <v>188</v>
      </c>
      <c r="AG32" t="s">
        <v>134</v>
      </c>
      <c r="AH32" t="s">
        <v>135</v>
      </c>
      <c r="AI32" t="s">
        <v>136</v>
      </c>
      <c r="AJ32" t="s">
        <v>137</v>
      </c>
      <c r="AK32" t="s">
        <v>138</v>
      </c>
      <c r="AL32" t="s">
        <v>139</v>
      </c>
      <c r="AM32" t="s">
        <v>140</v>
      </c>
      <c r="AN32" t="s">
        <v>141</v>
      </c>
      <c r="AO32" t="s">
        <v>142</v>
      </c>
      <c r="AP32" t="s">
        <v>143</v>
      </c>
    </row>
    <row r="33" spans="1:42" x14ac:dyDescent="0.2">
      <c r="A33" s="1" t="s">
        <v>529</v>
      </c>
      <c r="B33" s="1" t="s">
        <v>530</v>
      </c>
      <c r="C33" s="1" t="s">
        <v>531</v>
      </c>
      <c r="D33" s="1" t="s">
        <v>532</v>
      </c>
      <c r="E33" s="6" t="s">
        <v>785</v>
      </c>
      <c r="F33" s="6" t="s">
        <v>785</v>
      </c>
      <c r="G33" s="6">
        <v>1488</v>
      </c>
      <c r="H33" s="6">
        <v>373</v>
      </c>
      <c r="I33" s="4" t="s">
        <v>776</v>
      </c>
      <c r="J33" s="4">
        <v>9.1999999999999998E-2</v>
      </c>
      <c r="K33" s="6"/>
      <c r="L33" s="6"/>
      <c r="M33" s="1" t="s">
        <v>133</v>
      </c>
      <c r="N33" s="1" t="s">
        <v>41</v>
      </c>
      <c r="O33" s="1" t="s">
        <v>779</v>
      </c>
      <c r="P33" s="1" t="s">
        <v>41</v>
      </c>
      <c r="Q33" s="1">
        <v>3</v>
      </c>
      <c r="R33" s="1">
        <v>3</v>
      </c>
      <c r="S33" s="1">
        <v>374</v>
      </c>
      <c r="T33" s="1">
        <v>410</v>
      </c>
      <c r="U33" s="1">
        <f>T33+100</f>
        <v>510</v>
      </c>
      <c r="V33" t="s">
        <v>767</v>
      </c>
      <c r="X33" t="s">
        <v>768</v>
      </c>
      <c r="Y33">
        <v>5</v>
      </c>
      <c r="Z33" s="5">
        <v>32.5</v>
      </c>
      <c r="AA33" s="5">
        <f>Z33/AB33</f>
        <v>0.3186243272124783</v>
      </c>
      <c r="AB33" s="5">
        <v>102.001</v>
      </c>
      <c r="AC33" s="2">
        <v>45987</v>
      </c>
      <c r="AD33" s="2">
        <v>45987</v>
      </c>
      <c r="AE33" s="3">
        <v>0.54251157407407402</v>
      </c>
      <c r="AF33" t="s">
        <v>188</v>
      </c>
      <c r="AG33" t="s">
        <v>134</v>
      </c>
      <c r="AH33" t="s">
        <v>135</v>
      </c>
      <c r="AI33" t="s">
        <v>136</v>
      </c>
      <c r="AJ33" t="s">
        <v>137</v>
      </c>
      <c r="AK33" t="s">
        <v>138</v>
      </c>
      <c r="AL33" t="s">
        <v>139</v>
      </c>
      <c r="AM33" t="s">
        <v>140</v>
      </c>
      <c r="AN33" t="s">
        <v>141</v>
      </c>
      <c r="AO33" t="s">
        <v>142</v>
      </c>
      <c r="AP33" t="s">
        <v>143</v>
      </c>
    </row>
    <row r="34" spans="1:42" x14ac:dyDescent="0.2">
      <c r="A34" s="1" t="s">
        <v>533</v>
      </c>
      <c r="B34" s="1" t="s">
        <v>534</v>
      </c>
      <c r="C34" s="1" t="s">
        <v>535</v>
      </c>
      <c r="D34" s="1" t="s">
        <v>536</v>
      </c>
      <c r="E34" s="6" t="s">
        <v>785</v>
      </c>
      <c r="F34" s="6" t="s">
        <v>785</v>
      </c>
      <c r="G34" s="6">
        <v>1488</v>
      </c>
      <c r="H34" s="6">
        <v>373</v>
      </c>
      <c r="I34" s="4" t="s">
        <v>776</v>
      </c>
      <c r="J34" s="4">
        <v>0.13400000000000001</v>
      </c>
      <c r="K34" s="6"/>
      <c r="L34" s="6"/>
      <c r="M34" s="1" t="s">
        <v>133</v>
      </c>
      <c r="N34" s="1" t="s">
        <v>41</v>
      </c>
      <c r="O34" s="1" t="s">
        <v>779</v>
      </c>
      <c r="P34" s="1" t="s">
        <v>41</v>
      </c>
      <c r="Q34" s="1">
        <v>3</v>
      </c>
      <c r="R34" s="1">
        <v>3</v>
      </c>
      <c r="S34" s="1">
        <v>185</v>
      </c>
      <c r="T34" s="1">
        <v>291</v>
      </c>
      <c r="U34" s="1">
        <f>T34+100</f>
        <v>391</v>
      </c>
      <c r="V34" t="s">
        <v>767</v>
      </c>
      <c r="X34" t="s">
        <v>768</v>
      </c>
      <c r="Y34">
        <v>5</v>
      </c>
      <c r="Z34" s="5">
        <v>32.5</v>
      </c>
      <c r="AA34" s="5">
        <f>Z34/AB34</f>
        <v>0.3186243272124783</v>
      </c>
      <c r="AB34" s="5">
        <v>102.001</v>
      </c>
      <c r="AC34" s="2">
        <v>45987</v>
      </c>
      <c r="AD34" s="2">
        <v>45987</v>
      </c>
      <c r="AE34" s="3">
        <v>0.54107638888888887</v>
      </c>
      <c r="AF34" t="s">
        <v>188</v>
      </c>
      <c r="AG34" t="s">
        <v>134</v>
      </c>
      <c r="AH34" t="s">
        <v>135</v>
      </c>
      <c r="AI34" t="s">
        <v>136</v>
      </c>
      <c r="AJ34" t="s">
        <v>137</v>
      </c>
      <c r="AK34" t="s">
        <v>138</v>
      </c>
      <c r="AL34" t="s">
        <v>139</v>
      </c>
      <c r="AM34" t="s">
        <v>140</v>
      </c>
      <c r="AN34" t="s">
        <v>141</v>
      </c>
      <c r="AO34" t="s">
        <v>142</v>
      </c>
      <c r="AP34" t="s">
        <v>143</v>
      </c>
    </row>
    <row r="35" spans="1:42" x14ac:dyDescent="0.2">
      <c r="A35" s="1" t="s">
        <v>721</v>
      </c>
      <c r="B35" s="1" t="s">
        <v>722</v>
      </c>
      <c r="C35" s="1" t="s">
        <v>723</v>
      </c>
      <c r="D35" s="1" t="s">
        <v>724</v>
      </c>
      <c r="E35" s="6" t="s">
        <v>786</v>
      </c>
      <c r="F35" s="6" t="s">
        <v>786</v>
      </c>
      <c r="G35" s="6">
        <v>1488</v>
      </c>
      <c r="H35" s="6">
        <v>373</v>
      </c>
      <c r="I35" s="4" t="s">
        <v>776</v>
      </c>
      <c r="J35" s="4">
        <v>0.26600000000000001</v>
      </c>
      <c r="K35" s="6"/>
      <c r="L35" s="6"/>
      <c r="M35" s="1" t="s">
        <v>133</v>
      </c>
      <c r="N35" s="1" t="s">
        <v>25</v>
      </c>
      <c r="O35" s="1" t="s">
        <v>779</v>
      </c>
      <c r="P35" s="1" t="s">
        <v>25</v>
      </c>
      <c r="Q35" s="1">
        <v>4</v>
      </c>
      <c r="R35" s="1">
        <v>4</v>
      </c>
      <c r="S35" s="1">
        <v>483</v>
      </c>
      <c r="T35" s="1">
        <v>543</v>
      </c>
      <c r="U35" s="1">
        <f>T35+100</f>
        <v>643</v>
      </c>
      <c r="V35" t="s">
        <v>766</v>
      </c>
      <c r="X35" t="s">
        <v>768</v>
      </c>
      <c r="Y35">
        <v>5</v>
      </c>
      <c r="Z35" s="5">
        <v>32.5</v>
      </c>
      <c r="AA35" s="5">
        <f>Z35/AB35</f>
        <v>0.3186243272124783</v>
      </c>
      <c r="AB35" s="5">
        <v>102.001</v>
      </c>
      <c r="AC35" s="2">
        <v>45987</v>
      </c>
      <c r="AD35" s="2">
        <v>45987</v>
      </c>
      <c r="AE35" s="3">
        <v>0.50012731481481476</v>
      </c>
      <c r="AF35" t="s">
        <v>188</v>
      </c>
      <c r="AG35" t="s">
        <v>134</v>
      </c>
      <c r="AH35" t="s">
        <v>135</v>
      </c>
      <c r="AI35" t="s">
        <v>136</v>
      </c>
      <c r="AJ35" t="s">
        <v>137</v>
      </c>
      <c r="AK35" t="s">
        <v>138</v>
      </c>
      <c r="AL35" t="s">
        <v>139</v>
      </c>
      <c r="AM35" t="s">
        <v>140</v>
      </c>
      <c r="AN35" t="s">
        <v>141</v>
      </c>
      <c r="AO35" t="s">
        <v>142</v>
      </c>
      <c r="AP35" t="s">
        <v>143</v>
      </c>
    </row>
    <row r="36" spans="1:42" x14ac:dyDescent="0.2">
      <c r="A36" s="1" t="s">
        <v>725</v>
      </c>
      <c r="B36" s="1" t="s">
        <v>726</v>
      </c>
      <c r="C36" s="1" t="s">
        <v>727</v>
      </c>
      <c r="D36" s="1" t="s">
        <v>728</v>
      </c>
      <c r="E36" s="6" t="s">
        <v>785</v>
      </c>
      <c r="F36" s="6" t="s">
        <v>785</v>
      </c>
      <c r="G36" s="6">
        <v>1488</v>
      </c>
      <c r="H36" s="6">
        <v>373</v>
      </c>
      <c r="I36" s="4" t="s">
        <v>776</v>
      </c>
      <c r="J36" s="4">
        <v>7.5999999999999998E-2</v>
      </c>
      <c r="K36" s="6"/>
      <c r="L36" s="6"/>
      <c r="M36" s="1" t="s">
        <v>133</v>
      </c>
      <c r="N36" s="1" t="s">
        <v>25</v>
      </c>
      <c r="O36" s="1" t="s">
        <v>780</v>
      </c>
      <c r="P36" s="1" t="s">
        <v>25</v>
      </c>
      <c r="Q36" s="1">
        <v>5</v>
      </c>
      <c r="R36" s="1">
        <v>5</v>
      </c>
      <c r="S36" s="1">
        <v>240</v>
      </c>
      <c r="T36" s="1">
        <v>270</v>
      </c>
      <c r="U36" s="1">
        <f>T36+100</f>
        <v>370</v>
      </c>
      <c r="V36" t="s">
        <v>767</v>
      </c>
      <c r="W36" t="s">
        <v>767</v>
      </c>
      <c r="X36" t="s">
        <v>768</v>
      </c>
      <c r="Y36">
        <v>5</v>
      </c>
      <c r="Z36" s="5">
        <v>32.5</v>
      </c>
      <c r="AA36" s="5">
        <f>Z36/AB36</f>
        <v>0.3186243272124783</v>
      </c>
      <c r="AB36" s="5">
        <v>102.001</v>
      </c>
      <c r="AC36" s="2">
        <v>45987</v>
      </c>
      <c r="AD36" s="2">
        <v>45987</v>
      </c>
      <c r="AE36" s="3">
        <v>0.5080324074074074</v>
      </c>
      <c r="AF36" t="s">
        <v>188</v>
      </c>
      <c r="AG36" t="s">
        <v>134</v>
      </c>
      <c r="AH36" t="s">
        <v>135</v>
      </c>
      <c r="AI36" t="s">
        <v>136</v>
      </c>
      <c r="AJ36" t="s">
        <v>137</v>
      </c>
      <c r="AK36" t="s">
        <v>138</v>
      </c>
      <c r="AL36" t="s">
        <v>139</v>
      </c>
      <c r="AM36" t="s">
        <v>140</v>
      </c>
      <c r="AN36" t="s">
        <v>141</v>
      </c>
      <c r="AO36" t="s">
        <v>142</v>
      </c>
      <c r="AP36" t="s">
        <v>143</v>
      </c>
    </row>
    <row r="37" spans="1:42" x14ac:dyDescent="0.2">
      <c r="A37" s="1" t="s">
        <v>729</v>
      </c>
      <c r="B37" s="1" t="s">
        <v>730</v>
      </c>
      <c r="C37" s="1" t="s">
        <v>731</v>
      </c>
      <c r="D37" s="1" t="s">
        <v>732</v>
      </c>
      <c r="E37" s="6" t="s">
        <v>785</v>
      </c>
      <c r="F37" s="6" t="s">
        <v>785</v>
      </c>
      <c r="G37" s="6">
        <v>1488</v>
      </c>
      <c r="H37" s="6">
        <v>373</v>
      </c>
      <c r="I37" s="4" t="s">
        <v>776</v>
      </c>
      <c r="J37" s="4">
        <v>0.06</v>
      </c>
      <c r="K37" s="6"/>
      <c r="L37" s="6"/>
      <c r="M37" s="1" t="s">
        <v>133</v>
      </c>
      <c r="N37" s="1" t="s">
        <v>25</v>
      </c>
      <c r="O37" s="1" t="s">
        <v>780</v>
      </c>
      <c r="P37" s="1" t="s">
        <v>25</v>
      </c>
      <c r="Q37" s="1">
        <v>5</v>
      </c>
      <c r="R37" s="1">
        <v>5</v>
      </c>
      <c r="S37" s="1">
        <v>423</v>
      </c>
      <c r="T37" s="1">
        <v>454</v>
      </c>
      <c r="U37" s="1">
        <f>T37+100</f>
        <v>554</v>
      </c>
      <c r="V37" t="s">
        <v>767</v>
      </c>
      <c r="W37" t="s">
        <v>767</v>
      </c>
      <c r="X37" t="s">
        <v>768</v>
      </c>
      <c r="Y37">
        <v>5</v>
      </c>
      <c r="Z37" s="5">
        <v>32.5</v>
      </c>
      <c r="AA37" s="5">
        <f>Z37/AB37</f>
        <v>0.3186243272124783</v>
      </c>
      <c r="AB37" s="5">
        <v>102.001</v>
      </c>
      <c r="AC37" s="2">
        <v>45987</v>
      </c>
      <c r="AD37" s="2">
        <v>45987</v>
      </c>
      <c r="AE37" s="3">
        <v>0.508275462962963</v>
      </c>
      <c r="AF37" t="s">
        <v>188</v>
      </c>
      <c r="AG37" t="s">
        <v>134</v>
      </c>
      <c r="AH37" t="s">
        <v>135</v>
      </c>
      <c r="AI37" t="s">
        <v>136</v>
      </c>
      <c r="AJ37" t="s">
        <v>137</v>
      </c>
      <c r="AK37" t="s">
        <v>138</v>
      </c>
      <c r="AL37" t="s">
        <v>139</v>
      </c>
      <c r="AM37" t="s">
        <v>140</v>
      </c>
      <c r="AN37" t="s">
        <v>141</v>
      </c>
      <c r="AO37" t="s">
        <v>142</v>
      </c>
      <c r="AP37" t="s">
        <v>143</v>
      </c>
    </row>
    <row r="38" spans="1:42" x14ac:dyDescent="0.2">
      <c r="A38" s="1" t="s">
        <v>425</v>
      </c>
      <c r="B38" s="1" t="s">
        <v>426</v>
      </c>
      <c r="C38" s="1" t="s">
        <v>427</v>
      </c>
      <c r="D38" s="1" t="s">
        <v>428</v>
      </c>
      <c r="E38" s="6" t="s">
        <v>786</v>
      </c>
      <c r="F38" s="6" t="s">
        <v>786</v>
      </c>
      <c r="G38" s="6">
        <v>1488</v>
      </c>
      <c r="H38" s="6">
        <v>373</v>
      </c>
      <c r="I38" s="4" t="s">
        <v>776</v>
      </c>
      <c r="J38" s="4">
        <v>0.22500000000000001</v>
      </c>
      <c r="K38" s="6"/>
      <c r="L38" s="6"/>
      <c r="M38" s="1" t="s">
        <v>133</v>
      </c>
      <c r="N38" s="1" t="s">
        <v>41</v>
      </c>
      <c r="O38" s="1" t="s">
        <v>780</v>
      </c>
      <c r="P38" s="1" t="s">
        <v>41</v>
      </c>
      <c r="Q38" s="1">
        <v>5</v>
      </c>
      <c r="R38" s="1">
        <v>5</v>
      </c>
      <c r="S38" s="1">
        <v>326</v>
      </c>
      <c r="T38" s="1">
        <v>531</v>
      </c>
      <c r="U38" s="1">
        <f>T38+100</f>
        <v>631</v>
      </c>
      <c r="V38" t="s">
        <v>767</v>
      </c>
      <c r="X38" t="s">
        <v>768</v>
      </c>
      <c r="Y38">
        <v>5</v>
      </c>
      <c r="Z38" s="5">
        <v>32.5</v>
      </c>
      <c r="AA38" s="5">
        <f>Z38/AB38</f>
        <v>0.3186243272124783</v>
      </c>
      <c r="AB38" s="5">
        <v>102.001</v>
      </c>
      <c r="AC38" s="2">
        <v>45987</v>
      </c>
      <c r="AD38" s="2">
        <v>45987</v>
      </c>
      <c r="AE38" s="3">
        <v>0.55635416666666671</v>
      </c>
      <c r="AF38" t="s">
        <v>188</v>
      </c>
      <c r="AG38" t="s">
        <v>134</v>
      </c>
      <c r="AH38" t="s">
        <v>135</v>
      </c>
      <c r="AI38" t="s">
        <v>136</v>
      </c>
      <c r="AJ38" t="s">
        <v>137</v>
      </c>
      <c r="AK38" t="s">
        <v>138</v>
      </c>
      <c r="AL38" t="s">
        <v>139</v>
      </c>
      <c r="AM38" t="s">
        <v>140</v>
      </c>
      <c r="AN38" t="s">
        <v>141</v>
      </c>
      <c r="AO38" t="s">
        <v>142</v>
      </c>
      <c r="AP38" t="s">
        <v>143</v>
      </c>
    </row>
    <row r="39" spans="1:42" x14ac:dyDescent="0.2">
      <c r="A39" s="1" t="s">
        <v>429</v>
      </c>
      <c r="B39" s="1" t="s">
        <v>430</v>
      </c>
      <c r="C39" s="1" t="s">
        <v>431</v>
      </c>
      <c r="D39" s="1" t="s">
        <v>432</v>
      </c>
      <c r="E39" s="6" t="s">
        <v>786</v>
      </c>
      <c r="F39" s="6" t="s">
        <v>786</v>
      </c>
      <c r="G39" s="6">
        <v>1488</v>
      </c>
      <c r="H39" s="6">
        <v>373</v>
      </c>
      <c r="I39" s="4" t="s">
        <v>776</v>
      </c>
      <c r="J39" s="4">
        <v>8.6999999999999994E-2</v>
      </c>
      <c r="K39" s="6"/>
      <c r="L39" s="6"/>
      <c r="M39" s="1" t="s">
        <v>133</v>
      </c>
      <c r="N39" s="1" t="s">
        <v>41</v>
      </c>
      <c r="O39" s="1" t="s">
        <v>780</v>
      </c>
      <c r="P39" s="1" t="s">
        <v>41</v>
      </c>
      <c r="Q39" s="1">
        <v>5</v>
      </c>
      <c r="R39" s="1">
        <v>5</v>
      </c>
      <c r="S39" s="1">
        <v>436</v>
      </c>
      <c r="T39" s="1">
        <v>592</v>
      </c>
      <c r="U39" s="1">
        <f>T39+100</f>
        <v>692</v>
      </c>
      <c r="V39" t="s">
        <v>767</v>
      </c>
      <c r="X39" t="s">
        <v>768</v>
      </c>
      <c r="Y39">
        <v>5</v>
      </c>
      <c r="Z39" s="5">
        <v>32.5</v>
      </c>
      <c r="AA39" s="5">
        <f>Z39/AB39</f>
        <v>0.3186243272124783</v>
      </c>
      <c r="AB39" s="5">
        <v>102.001</v>
      </c>
      <c r="AC39" s="2">
        <v>45987</v>
      </c>
      <c r="AD39" s="2">
        <v>45987</v>
      </c>
      <c r="AE39" s="3">
        <v>0.55620370370370376</v>
      </c>
      <c r="AF39" t="s">
        <v>188</v>
      </c>
      <c r="AG39" t="s">
        <v>134</v>
      </c>
      <c r="AH39" t="s">
        <v>135</v>
      </c>
      <c r="AI39" t="s">
        <v>136</v>
      </c>
      <c r="AJ39" t="s">
        <v>137</v>
      </c>
      <c r="AK39" t="s">
        <v>138</v>
      </c>
      <c r="AL39" t="s">
        <v>139</v>
      </c>
      <c r="AM39" t="s">
        <v>140</v>
      </c>
      <c r="AN39" t="s">
        <v>141</v>
      </c>
      <c r="AO39" t="s">
        <v>142</v>
      </c>
      <c r="AP39" t="s">
        <v>143</v>
      </c>
    </row>
    <row r="40" spans="1:42" x14ac:dyDescent="0.2">
      <c r="A40" s="1" t="s">
        <v>437</v>
      </c>
      <c r="B40" s="1" t="s">
        <v>438</v>
      </c>
      <c r="C40" s="1" t="s">
        <v>439</v>
      </c>
      <c r="D40" s="1" t="s">
        <v>440</v>
      </c>
      <c r="E40" s="6" t="s">
        <v>786</v>
      </c>
      <c r="F40" s="6" t="s">
        <v>786</v>
      </c>
      <c r="G40" s="6">
        <v>1488</v>
      </c>
      <c r="H40" s="6">
        <v>373</v>
      </c>
      <c r="I40" s="4" t="s">
        <v>776</v>
      </c>
      <c r="J40" s="4">
        <v>0.28699999999999998</v>
      </c>
      <c r="K40" s="6"/>
      <c r="L40" s="6"/>
      <c r="M40" s="1" t="s">
        <v>133</v>
      </c>
      <c r="N40" s="1" t="s">
        <v>25</v>
      </c>
      <c r="O40" s="1" t="s">
        <v>780</v>
      </c>
      <c r="P40" s="1" t="s">
        <v>25</v>
      </c>
      <c r="Q40" s="1">
        <v>5</v>
      </c>
      <c r="R40" s="1">
        <v>5</v>
      </c>
      <c r="S40" s="1">
        <v>332</v>
      </c>
      <c r="T40" s="1">
        <v>362</v>
      </c>
      <c r="U40" s="1">
        <f>T40+100</f>
        <v>462</v>
      </c>
      <c r="V40" t="s">
        <v>767</v>
      </c>
      <c r="X40" t="s">
        <v>768</v>
      </c>
      <c r="Y40">
        <v>5</v>
      </c>
      <c r="Z40" s="5">
        <v>32.5</v>
      </c>
      <c r="AA40" s="5">
        <f>Z40/AB40</f>
        <v>0.3186243272124783</v>
      </c>
      <c r="AB40" s="5">
        <v>102.001</v>
      </c>
      <c r="AC40" s="2">
        <v>45987</v>
      </c>
      <c r="AD40" s="2">
        <v>45987</v>
      </c>
      <c r="AE40" s="3">
        <v>0.50912037037037039</v>
      </c>
      <c r="AF40" t="s">
        <v>188</v>
      </c>
      <c r="AG40" t="s">
        <v>134</v>
      </c>
      <c r="AH40" t="s">
        <v>135</v>
      </c>
      <c r="AI40" t="s">
        <v>136</v>
      </c>
      <c r="AJ40" t="s">
        <v>137</v>
      </c>
      <c r="AK40" t="s">
        <v>138</v>
      </c>
      <c r="AL40" t="s">
        <v>139</v>
      </c>
      <c r="AM40" t="s">
        <v>140</v>
      </c>
      <c r="AN40" t="s">
        <v>141</v>
      </c>
      <c r="AO40" t="s">
        <v>142</v>
      </c>
      <c r="AP40" t="s">
        <v>143</v>
      </c>
    </row>
    <row r="41" spans="1:42" x14ac:dyDescent="0.2">
      <c r="A41" s="1" t="s">
        <v>441</v>
      </c>
      <c r="B41" s="1" t="s">
        <v>442</v>
      </c>
      <c r="C41" s="1" t="s">
        <v>443</v>
      </c>
      <c r="D41" s="1" t="s">
        <v>444</v>
      </c>
      <c r="E41" s="6" t="s">
        <v>785</v>
      </c>
      <c r="F41" s="6" t="s">
        <v>785</v>
      </c>
      <c r="G41" s="6">
        <v>1488</v>
      </c>
      <c r="H41" s="6">
        <v>373</v>
      </c>
      <c r="I41" s="4" t="s">
        <v>776</v>
      </c>
      <c r="J41" s="4">
        <v>0.17499999999999999</v>
      </c>
      <c r="K41" s="6"/>
      <c r="L41" s="6"/>
      <c r="M41" s="1" t="s">
        <v>133</v>
      </c>
      <c r="N41" s="1" t="s">
        <v>25</v>
      </c>
      <c r="O41" s="1" t="s">
        <v>780</v>
      </c>
      <c r="P41" s="1" t="s">
        <v>25</v>
      </c>
      <c r="Q41" s="1">
        <v>5</v>
      </c>
      <c r="R41" s="1">
        <v>5</v>
      </c>
      <c r="S41" s="1">
        <v>552</v>
      </c>
      <c r="T41" s="1">
        <v>593</v>
      </c>
      <c r="U41" s="1">
        <f>T41+100</f>
        <v>693</v>
      </c>
      <c r="V41" t="s">
        <v>767</v>
      </c>
      <c r="X41" t="s">
        <v>768</v>
      </c>
      <c r="Y41">
        <v>5</v>
      </c>
      <c r="Z41" s="5">
        <v>32.5</v>
      </c>
      <c r="AA41" s="5">
        <f>Z41/AB41</f>
        <v>0.3186243272124783</v>
      </c>
      <c r="AB41" s="5">
        <v>102.001</v>
      </c>
      <c r="AC41" s="2">
        <v>45987</v>
      </c>
      <c r="AD41" s="2">
        <v>45987</v>
      </c>
      <c r="AE41" s="3">
        <v>0.50937500000000002</v>
      </c>
      <c r="AF41" t="s">
        <v>188</v>
      </c>
      <c r="AG41" t="s">
        <v>134</v>
      </c>
      <c r="AH41" t="s">
        <v>135</v>
      </c>
      <c r="AI41" t="s">
        <v>136</v>
      </c>
      <c r="AJ41" t="s">
        <v>137</v>
      </c>
      <c r="AK41" t="s">
        <v>138</v>
      </c>
      <c r="AL41" t="s">
        <v>139</v>
      </c>
      <c r="AM41" t="s">
        <v>140</v>
      </c>
      <c r="AN41" t="s">
        <v>141</v>
      </c>
      <c r="AO41" t="s">
        <v>142</v>
      </c>
      <c r="AP41" t="s">
        <v>143</v>
      </c>
    </row>
    <row r="42" spans="1:42" x14ac:dyDescent="0.2">
      <c r="A42" s="1" t="s">
        <v>445</v>
      </c>
      <c r="B42" s="1" t="s">
        <v>446</v>
      </c>
      <c r="C42" s="1" t="s">
        <v>447</v>
      </c>
      <c r="D42" s="1" t="s">
        <v>448</v>
      </c>
      <c r="E42" s="6" t="s">
        <v>785</v>
      </c>
      <c r="F42" s="6" t="s">
        <v>785</v>
      </c>
      <c r="G42" s="6">
        <v>1488</v>
      </c>
      <c r="H42" s="6">
        <v>373</v>
      </c>
      <c r="I42" s="4" t="s">
        <v>776</v>
      </c>
      <c r="J42" s="4">
        <v>0.216</v>
      </c>
      <c r="K42" s="6"/>
      <c r="L42" s="6"/>
      <c r="M42" s="1" t="s">
        <v>133</v>
      </c>
      <c r="N42" s="1" t="s">
        <v>25</v>
      </c>
      <c r="O42" s="1" t="s">
        <v>780</v>
      </c>
      <c r="P42" s="1" t="s">
        <v>25</v>
      </c>
      <c r="Q42" s="1">
        <v>5</v>
      </c>
      <c r="R42" s="1">
        <v>5</v>
      </c>
      <c r="S42" s="1">
        <v>469</v>
      </c>
      <c r="T42" s="1">
        <v>558</v>
      </c>
      <c r="U42" s="1">
        <f>T42+100</f>
        <v>658</v>
      </c>
      <c r="V42" t="s">
        <v>767</v>
      </c>
      <c r="X42" t="s">
        <v>768</v>
      </c>
      <c r="Y42">
        <v>5</v>
      </c>
      <c r="Z42" s="5">
        <v>32.5</v>
      </c>
      <c r="AA42" s="5">
        <f>Z42/AB42</f>
        <v>0.3186243272124783</v>
      </c>
      <c r="AB42" s="5">
        <v>102.001</v>
      </c>
      <c r="AC42" s="2">
        <v>45987</v>
      </c>
      <c r="AD42" s="2">
        <v>45987</v>
      </c>
      <c r="AE42" s="3">
        <v>0.51037037037037036</v>
      </c>
      <c r="AF42" t="s">
        <v>188</v>
      </c>
      <c r="AG42" t="s">
        <v>134</v>
      </c>
      <c r="AH42" t="s">
        <v>135</v>
      </c>
      <c r="AI42" t="s">
        <v>136</v>
      </c>
      <c r="AJ42" t="s">
        <v>137</v>
      </c>
      <c r="AK42" t="s">
        <v>138</v>
      </c>
      <c r="AL42" t="s">
        <v>139</v>
      </c>
      <c r="AM42" t="s">
        <v>140</v>
      </c>
      <c r="AN42" t="s">
        <v>141</v>
      </c>
      <c r="AO42" t="s">
        <v>142</v>
      </c>
      <c r="AP42" t="s">
        <v>143</v>
      </c>
    </row>
    <row r="43" spans="1:42" x14ac:dyDescent="0.2">
      <c r="A43" s="1" t="s">
        <v>449</v>
      </c>
      <c r="B43" s="1" t="s">
        <v>450</v>
      </c>
      <c r="C43" s="1" t="s">
        <v>451</v>
      </c>
      <c r="D43" s="1" t="s">
        <v>452</v>
      </c>
      <c r="E43" s="6" t="s">
        <v>785</v>
      </c>
      <c r="F43" s="6" t="s">
        <v>785</v>
      </c>
      <c r="G43" s="6">
        <v>1488</v>
      </c>
      <c r="H43" s="6">
        <v>373</v>
      </c>
      <c r="I43" s="4" t="s">
        <v>776</v>
      </c>
      <c r="J43" s="4">
        <v>0.17899999999999999</v>
      </c>
      <c r="K43" s="6"/>
      <c r="L43" s="6"/>
      <c r="M43" s="1" t="s">
        <v>133</v>
      </c>
      <c r="N43" s="1" t="s">
        <v>25</v>
      </c>
      <c r="O43" s="1" t="s">
        <v>780</v>
      </c>
      <c r="P43" s="1" t="s">
        <v>25</v>
      </c>
      <c r="Q43" s="1">
        <v>5</v>
      </c>
      <c r="R43" s="1">
        <v>5</v>
      </c>
      <c r="S43" s="1">
        <v>396</v>
      </c>
      <c r="T43" s="1">
        <v>434</v>
      </c>
      <c r="U43" s="1">
        <f>T43+100</f>
        <v>534</v>
      </c>
      <c r="V43" t="s">
        <v>767</v>
      </c>
      <c r="X43" t="s">
        <v>768</v>
      </c>
      <c r="Y43">
        <v>5</v>
      </c>
      <c r="Z43" s="5">
        <v>32.5</v>
      </c>
      <c r="AA43" s="5">
        <f>Z43/AB43</f>
        <v>0.3186243272124783</v>
      </c>
      <c r="AB43" s="5">
        <v>102.001</v>
      </c>
      <c r="AC43" s="2">
        <v>45987</v>
      </c>
      <c r="AD43" s="2">
        <v>45987</v>
      </c>
      <c r="AE43" s="3">
        <v>0.51108796296296299</v>
      </c>
      <c r="AF43" t="s">
        <v>188</v>
      </c>
      <c r="AG43" t="s">
        <v>134</v>
      </c>
      <c r="AH43" t="s">
        <v>135</v>
      </c>
      <c r="AI43" t="s">
        <v>136</v>
      </c>
      <c r="AJ43" t="s">
        <v>137</v>
      </c>
      <c r="AK43" t="s">
        <v>138</v>
      </c>
      <c r="AL43" t="s">
        <v>139</v>
      </c>
      <c r="AM43" t="s">
        <v>140</v>
      </c>
      <c r="AN43" t="s">
        <v>141</v>
      </c>
      <c r="AO43" t="s">
        <v>142</v>
      </c>
      <c r="AP43" t="s">
        <v>143</v>
      </c>
    </row>
    <row r="44" spans="1:42" x14ac:dyDescent="0.2">
      <c r="A44" s="1" t="s">
        <v>453</v>
      </c>
      <c r="B44" s="1" t="s">
        <v>454</v>
      </c>
      <c r="C44" s="1" t="s">
        <v>455</v>
      </c>
      <c r="D44" s="1" t="s">
        <v>456</v>
      </c>
      <c r="E44" s="6" t="s">
        <v>785</v>
      </c>
      <c r="F44" s="6" t="s">
        <v>785</v>
      </c>
      <c r="G44" s="6">
        <v>1488</v>
      </c>
      <c r="H44" s="6">
        <v>373</v>
      </c>
      <c r="I44" s="4" t="s">
        <v>776</v>
      </c>
      <c r="J44" s="4">
        <v>0.186</v>
      </c>
      <c r="K44" s="6"/>
      <c r="L44" s="6"/>
      <c r="M44" s="1" t="s">
        <v>133</v>
      </c>
      <c r="N44" s="1" t="s">
        <v>25</v>
      </c>
      <c r="O44" s="1" t="s">
        <v>780</v>
      </c>
      <c r="P44" s="1" t="s">
        <v>25</v>
      </c>
      <c r="Q44" s="1">
        <v>5</v>
      </c>
      <c r="R44" s="1">
        <v>5</v>
      </c>
      <c r="S44" s="1">
        <v>528</v>
      </c>
      <c r="T44" s="1">
        <v>561</v>
      </c>
      <c r="U44" s="1">
        <f>T44+100</f>
        <v>661</v>
      </c>
      <c r="V44" t="s">
        <v>767</v>
      </c>
      <c r="X44" t="s">
        <v>768</v>
      </c>
      <c r="Y44">
        <v>5</v>
      </c>
      <c r="Z44" s="5">
        <v>32.5</v>
      </c>
      <c r="AA44" s="5">
        <f>Z44/AB44</f>
        <v>0.3186243272124783</v>
      </c>
      <c r="AB44" s="5">
        <v>102.001</v>
      </c>
      <c r="AC44" s="2">
        <v>45987</v>
      </c>
      <c r="AD44" s="2">
        <v>45987</v>
      </c>
      <c r="AE44" s="3">
        <v>0.51140046296296293</v>
      </c>
      <c r="AF44" t="s">
        <v>188</v>
      </c>
      <c r="AG44" t="s">
        <v>134</v>
      </c>
      <c r="AH44" t="s">
        <v>135</v>
      </c>
      <c r="AI44" t="s">
        <v>136</v>
      </c>
      <c r="AJ44" t="s">
        <v>137</v>
      </c>
      <c r="AK44" t="s">
        <v>138</v>
      </c>
      <c r="AL44" t="s">
        <v>139</v>
      </c>
      <c r="AM44" t="s">
        <v>140</v>
      </c>
      <c r="AN44" t="s">
        <v>141</v>
      </c>
      <c r="AO44" t="s">
        <v>142</v>
      </c>
      <c r="AP44" t="s">
        <v>143</v>
      </c>
    </row>
    <row r="45" spans="1:42" x14ac:dyDescent="0.2">
      <c r="A45" s="1" t="s">
        <v>457</v>
      </c>
      <c r="B45" s="1" t="s">
        <v>458</v>
      </c>
      <c r="C45" s="1" t="s">
        <v>459</v>
      </c>
      <c r="D45" s="1" t="s">
        <v>460</v>
      </c>
      <c r="E45" s="6" t="s">
        <v>785</v>
      </c>
      <c r="F45" s="6" t="s">
        <v>785</v>
      </c>
      <c r="G45" s="6">
        <v>1488</v>
      </c>
      <c r="H45" s="6">
        <v>373</v>
      </c>
      <c r="I45" s="4" t="s">
        <v>776</v>
      </c>
      <c r="J45" s="4">
        <v>0.23599999999999999</v>
      </c>
      <c r="K45" s="6"/>
      <c r="L45" s="6"/>
      <c r="M45" s="1" t="s">
        <v>133</v>
      </c>
      <c r="N45" s="1" t="s">
        <v>25</v>
      </c>
      <c r="O45" s="1" t="s">
        <v>780</v>
      </c>
      <c r="P45" s="1" t="s">
        <v>25</v>
      </c>
      <c r="Q45" s="1">
        <v>5</v>
      </c>
      <c r="R45" s="1">
        <v>5</v>
      </c>
      <c r="S45" s="1">
        <v>48</v>
      </c>
      <c r="T45" s="1">
        <v>116</v>
      </c>
      <c r="U45" s="1">
        <f>T45+100</f>
        <v>216</v>
      </c>
      <c r="V45" t="s">
        <v>767</v>
      </c>
      <c r="X45" t="s">
        <v>768</v>
      </c>
      <c r="Y45">
        <v>5</v>
      </c>
      <c r="Z45" s="5">
        <v>32.5</v>
      </c>
      <c r="AA45" s="5">
        <f>Z45/AB45</f>
        <v>0.3186243272124783</v>
      </c>
      <c r="AB45" s="5">
        <v>102.001</v>
      </c>
      <c r="AC45" s="2">
        <v>45987</v>
      </c>
      <c r="AD45" s="2">
        <v>45987</v>
      </c>
      <c r="AE45" s="3">
        <v>0.51253472222222218</v>
      </c>
      <c r="AF45" t="s">
        <v>188</v>
      </c>
      <c r="AG45" t="s">
        <v>134</v>
      </c>
      <c r="AH45" t="s">
        <v>135</v>
      </c>
      <c r="AI45" t="s">
        <v>136</v>
      </c>
      <c r="AJ45" t="s">
        <v>137</v>
      </c>
      <c r="AK45" t="s">
        <v>138</v>
      </c>
      <c r="AL45" t="s">
        <v>139</v>
      </c>
      <c r="AM45" t="s">
        <v>140</v>
      </c>
      <c r="AN45" t="s">
        <v>141</v>
      </c>
      <c r="AO45" t="s">
        <v>142</v>
      </c>
      <c r="AP45" t="s">
        <v>143</v>
      </c>
    </row>
    <row r="46" spans="1:42" x14ac:dyDescent="0.2">
      <c r="A46" s="1" t="s">
        <v>461</v>
      </c>
      <c r="B46" s="1" t="s">
        <v>462</v>
      </c>
      <c r="C46" s="1" t="s">
        <v>463</v>
      </c>
      <c r="D46" s="1" t="s">
        <v>464</v>
      </c>
      <c r="E46" s="6" t="s">
        <v>785</v>
      </c>
      <c r="F46" s="6" t="s">
        <v>785</v>
      </c>
      <c r="G46" s="6">
        <v>1488</v>
      </c>
      <c r="H46" s="6">
        <v>373</v>
      </c>
      <c r="I46" s="4" t="s">
        <v>776</v>
      </c>
      <c r="J46" s="4">
        <v>0.245</v>
      </c>
      <c r="K46" s="6"/>
      <c r="L46" s="6"/>
      <c r="M46" s="1" t="s">
        <v>133</v>
      </c>
      <c r="N46" s="1" t="s">
        <v>25</v>
      </c>
      <c r="O46" s="1" t="s">
        <v>780</v>
      </c>
      <c r="P46" s="1" t="s">
        <v>25</v>
      </c>
      <c r="Q46" s="1">
        <v>5</v>
      </c>
      <c r="R46" s="1">
        <v>5</v>
      </c>
      <c r="S46" s="1">
        <v>336</v>
      </c>
      <c r="T46" s="1">
        <v>402</v>
      </c>
      <c r="U46" s="1">
        <f>T46+100</f>
        <v>502</v>
      </c>
      <c r="V46" t="s">
        <v>767</v>
      </c>
      <c r="X46" t="s">
        <v>768</v>
      </c>
      <c r="Y46">
        <v>5</v>
      </c>
      <c r="Z46" s="5">
        <v>32.5</v>
      </c>
      <c r="AA46" s="5">
        <f>Z46/AB46</f>
        <v>0.3186243272124783</v>
      </c>
      <c r="AB46" s="5">
        <v>102.001</v>
      </c>
      <c r="AC46" s="2">
        <v>45987</v>
      </c>
      <c r="AD46" s="2">
        <v>45987</v>
      </c>
      <c r="AE46" s="3">
        <v>0.51267361111111109</v>
      </c>
      <c r="AF46" t="s">
        <v>188</v>
      </c>
      <c r="AG46" t="s">
        <v>134</v>
      </c>
      <c r="AH46" t="s">
        <v>135</v>
      </c>
      <c r="AI46" t="s">
        <v>136</v>
      </c>
      <c r="AJ46" t="s">
        <v>137</v>
      </c>
      <c r="AK46" t="s">
        <v>138</v>
      </c>
      <c r="AL46" t="s">
        <v>139</v>
      </c>
      <c r="AM46" t="s">
        <v>140</v>
      </c>
      <c r="AN46" t="s">
        <v>141</v>
      </c>
      <c r="AO46" t="s">
        <v>142</v>
      </c>
      <c r="AP46" t="s">
        <v>143</v>
      </c>
    </row>
    <row r="47" spans="1:42" x14ac:dyDescent="0.2">
      <c r="A47" s="1" t="s">
        <v>465</v>
      </c>
      <c r="B47" s="1" t="s">
        <v>466</v>
      </c>
      <c r="C47" s="1" t="s">
        <v>467</v>
      </c>
      <c r="D47" s="1" t="s">
        <v>468</v>
      </c>
      <c r="E47" s="6" t="s">
        <v>785</v>
      </c>
      <c r="F47" s="6" t="s">
        <v>785</v>
      </c>
      <c r="G47" s="6">
        <v>1488</v>
      </c>
      <c r="H47" s="6">
        <v>373</v>
      </c>
      <c r="I47" s="4" t="s">
        <v>776</v>
      </c>
      <c r="J47" s="4">
        <v>0.35199999999999998</v>
      </c>
      <c r="K47" s="6"/>
      <c r="L47" s="6"/>
      <c r="M47" s="1" t="s">
        <v>133</v>
      </c>
      <c r="N47" s="1" t="s">
        <v>25</v>
      </c>
      <c r="O47" s="1" t="s">
        <v>780</v>
      </c>
      <c r="P47" s="1" t="s">
        <v>25</v>
      </c>
      <c r="Q47" s="1">
        <v>5</v>
      </c>
      <c r="R47" s="1">
        <v>5</v>
      </c>
      <c r="S47" s="1">
        <v>499</v>
      </c>
      <c r="T47" s="1">
        <v>540</v>
      </c>
      <c r="U47" s="1">
        <f>T47+100</f>
        <v>640</v>
      </c>
      <c r="V47" t="s">
        <v>767</v>
      </c>
      <c r="X47" t="s">
        <v>768</v>
      </c>
      <c r="Y47">
        <v>5</v>
      </c>
      <c r="Z47" s="5">
        <v>32.5</v>
      </c>
      <c r="AA47" s="5">
        <f>Z47/AB47</f>
        <v>0.3186243272124783</v>
      </c>
      <c r="AB47" s="5">
        <v>102.001</v>
      </c>
      <c r="AC47" s="2">
        <v>45987</v>
      </c>
      <c r="AD47" s="2">
        <v>45987</v>
      </c>
      <c r="AE47" s="3">
        <v>0.51287037037037042</v>
      </c>
      <c r="AF47" t="s">
        <v>188</v>
      </c>
      <c r="AG47" t="s">
        <v>134</v>
      </c>
      <c r="AH47" t="s">
        <v>135</v>
      </c>
      <c r="AI47" t="s">
        <v>136</v>
      </c>
      <c r="AJ47" t="s">
        <v>137</v>
      </c>
      <c r="AK47" t="s">
        <v>138</v>
      </c>
      <c r="AL47" t="s">
        <v>139</v>
      </c>
      <c r="AM47" t="s">
        <v>140</v>
      </c>
      <c r="AN47" t="s">
        <v>141</v>
      </c>
      <c r="AO47" t="s">
        <v>142</v>
      </c>
      <c r="AP47" t="s">
        <v>143</v>
      </c>
    </row>
    <row r="48" spans="1:42" x14ac:dyDescent="0.2">
      <c r="A48" s="1" t="s">
        <v>469</v>
      </c>
      <c r="B48" s="1" t="s">
        <v>470</v>
      </c>
      <c r="C48" s="1" t="s">
        <v>471</v>
      </c>
      <c r="D48" s="1" t="s">
        <v>472</v>
      </c>
      <c r="E48" s="6" t="s">
        <v>785</v>
      </c>
      <c r="F48" s="6" t="s">
        <v>785</v>
      </c>
      <c r="G48" s="6">
        <v>1488</v>
      </c>
      <c r="H48" s="6">
        <v>373</v>
      </c>
      <c r="I48" s="4" t="s">
        <v>776</v>
      </c>
      <c r="J48" s="4">
        <v>0.23</v>
      </c>
      <c r="K48" s="6"/>
      <c r="L48" s="6"/>
      <c r="M48" s="1" t="s">
        <v>133</v>
      </c>
      <c r="N48" s="1" t="s">
        <v>25</v>
      </c>
      <c r="O48" s="1" t="s">
        <v>780</v>
      </c>
      <c r="P48" s="1" t="s">
        <v>25</v>
      </c>
      <c r="Q48" s="1">
        <v>5</v>
      </c>
      <c r="R48" s="1">
        <v>5</v>
      </c>
      <c r="S48" s="1">
        <v>348</v>
      </c>
      <c r="T48" s="1">
        <v>396</v>
      </c>
      <c r="U48" s="1">
        <f>T48+100</f>
        <v>496</v>
      </c>
      <c r="V48" t="s">
        <v>767</v>
      </c>
      <c r="X48" t="s">
        <v>768</v>
      </c>
      <c r="Y48">
        <v>5</v>
      </c>
      <c r="Z48" s="5">
        <v>32.5</v>
      </c>
      <c r="AA48" s="5">
        <f>Z48/AB48</f>
        <v>0.3186243272124783</v>
      </c>
      <c r="AB48" s="5">
        <v>102.001</v>
      </c>
      <c r="AC48" s="2">
        <v>45987</v>
      </c>
      <c r="AD48" s="2">
        <v>45987</v>
      </c>
      <c r="AE48" s="3">
        <v>0.51380787037037035</v>
      </c>
      <c r="AF48" t="s">
        <v>188</v>
      </c>
      <c r="AG48" t="s">
        <v>134</v>
      </c>
      <c r="AH48" t="s">
        <v>135</v>
      </c>
      <c r="AI48" t="s">
        <v>136</v>
      </c>
      <c r="AJ48" t="s">
        <v>137</v>
      </c>
      <c r="AK48" t="s">
        <v>138</v>
      </c>
      <c r="AL48" t="s">
        <v>139</v>
      </c>
      <c r="AM48" t="s">
        <v>140</v>
      </c>
      <c r="AN48" t="s">
        <v>141</v>
      </c>
      <c r="AO48" t="s">
        <v>142</v>
      </c>
      <c r="AP48" t="s">
        <v>143</v>
      </c>
    </row>
    <row r="49" spans="1:42" x14ac:dyDescent="0.2">
      <c r="A49" s="1" t="s">
        <v>473</v>
      </c>
      <c r="B49" s="1" t="s">
        <v>474</v>
      </c>
      <c r="C49" s="1" t="s">
        <v>475</v>
      </c>
      <c r="D49" s="1" t="s">
        <v>476</v>
      </c>
      <c r="E49" s="6" t="s">
        <v>785</v>
      </c>
      <c r="F49" s="6" t="s">
        <v>785</v>
      </c>
      <c r="G49" s="6">
        <v>1488</v>
      </c>
      <c r="H49" s="6">
        <v>373</v>
      </c>
      <c r="I49" s="4" t="s">
        <v>776</v>
      </c>
      <c r="J49" s="4">
        <v>0.06</v>
      </c>
      <c r="K49" s="6"/>
      <c r="L49" s="6"/>
      <c r="M49" s="1" t="s">
        <v>133</v>
      </c>
      <c r="N49" s="1" t="s">
        <v>25</v>
      </c>
      <c r="O49" s="1" t="s">
        <v>780</v>
      </c>
      <c r="P49" s="1" t="s">
        <v>25</v>
      </c>
      <c r="Q49" s="1">
        <v>5</v>
      </c>
      <c r="R49" s="1">
        <v>5</v>
      </c>
      <c r="S49" s="1">
        <v>427</v>
      </c>
      <c r="T49" s="1">
        <v>486</v>
      </c>
      <c r="U49" s="1">
        <f>T49+100</f>
        <v>586</v>
      </c>
      <c r="V49" t="s">
        <v>767</v>
      </c>
      <c r="X49" t="s">
        <v>768</v>
      </c>
      <c r="Y49">
        <v>5</v>
      </c>
      <c r="Z49" s="5">
        <v>32.5</v>
      </c>
      <c r="AA49" s="5">
        <f>Z49/AB49</f>
        <v>0.3186243272124783</v>
      </c>
      <c r="AB49" s="5">
        <v>102.001</v>
      </c>
      <c r="AC49" s="2">
        <v>45987</v>
      </c>
      <c r="AD49" s="2">
        <v>45987</v>
      </c>
      <c r="AE49" s="3">
        <v>0.51408564814814817</v>
      </c>
      <c r="AF49" t="s">
        <v>188</v>
      </c>
      <c r="AG49" t="s">
        <v>134</v>
      </c>
      <c r="AH49" t="s">
        <v>135</v>
      </c>
      <c r="AI49" t="s">
        <v>136</v>
      </c>
      <c r="AJ49" t="s">
        <v>137</v>
      </c>
      <c r="AK49" t="s">
        <v>138</v>
      </c>
      <c r="AL49" t="s">
        <v>139</v>
      </c>
      <c r="AM49" t="s">
        <v>140</v>
      </c>
      <c r="AN49" t="s">
        <v>141</v>
      </c>
      <c r="AO49" t="s">
        <v>142</v>
      </c>
      <c r="AP49" t="s">
        <v>143</v>
      </c>
    </row>
    <row r="50" spans="1:42" x14ac:dyDescent="0.2">
      <c r="A50" s="1" t="s">
        <v>489</v>
      </c>
      <c r="B50" s="1" t="s">
        <v>490</v>
      </c>
      <c r="C50" s="1" t="s">
        <v>491</v>
      </c>
      <c r="D50" s="1" t="s">
        <v>492</v>
      </c>
      <c r="E50" s="6" t="s">
        <v>785</v>
      </c>
      <c r="F50" s="6" t="s">
        <v>786</v>
      </c>
      <c r="G50" s="6">
        <v>1488</v>
      </c>
      <c r="H50" s="6">
        <v>373</v>
      </c>
      <c r="I50" s="4" t="s">
        <v>776</v>
      </c>
      <c r="J50" s="4">
        <v>0.106</v>
      </c>
      <c r="K50" s="6"/>
      <c r="L50" s="6"/>
      <c r="M50" s="1" t="s">
        <v>133</v>
      </c>
      <c r="N50" s="1" t="s">
        <v>25</v>
      </c>
      <c r="O50" s="1" t="s">
        <v>780</v>
      </c>
      <c r="P50" s="1" t="s">
        <v>25</v>
      </c>
      <c r="Q50" s="1">
        <v>5</v>
      </c>
      <c r="R50" s="1">
        <v>5</v>
      </c>
      <c r="S50" s="1">
        <v>327</v>
      </c>
      <c r="T50" s="1">
        <v>480</v>
      </c>
      <c r="U50" s="1">
        <f>T50+100</f>
        <v>580</v>
      </c>
      <c r="V50" t="s">
        <v>767</v>
      </c>
      <c r="X50" t="s">
        <v>768</v>
      </c>
      <c r="Y50">
        <v>5</v>
      </c>
      <c r="Z50" s="5">
        <v>32.5</v>
      </c>
      <c r="AA50" s="5">
        <f>Z50/AB50</f>
        <v>0.3186243272124783</v>
      </c>
      <c r="AB50" s="5">
        <v>102.001</v>
      </c>
      <c r="AC50" s="2">
        <v>45987</v>
      </c>
      <c r="AD50" s="2">
        <v>45987</v>
      </c>
      <c r="AE50" s="3">
        <v>0.50896990740740744</v>
      </c>
      <c r="AF50" t="s">
        <v>188</v>
      </c>
      <c r="AG50" t="s">
        <v>134</v>
      </c>
      <c r="AH50" t="s">
        <v>135</v>
      </c>
      <c r="AI50" t="s">
        <v>136</v>
      </c>
      <c r="AJ50" t="s">
        <v>137</v>
      </c>
      <c r="AK50" t="s">
        <v>138</v>
      </c>
      <c r="AL50" t="s">
        <v>139</v>
      </c>
      <c r="AM50" t="s">
        <v>140</v>
      </c>
      <c r="AN50" t="s">
        <v>141</v>
      </c>
      <c r="AO50" t="s">
        <v>142</v>
      </c>
      <c r="AP50" t="s">
        <v>143</v>
      </c>
    </row>
    <row r="51" spans="1:42" x14ac:dyDescent="0.2">
      <c r="A51" s="1" t="s">
        <v>517</v>
      </c>
      <c r="B51" s="1" t="s">
        <v>518</v>
      </c>
      <c r="C51" s="1" t="s">
        <v>519</v>
      </c>
      <c r="D51" s="1" t="s">
        <v>520</v>
      </c>
      <c r="E51" s="6" t="s">
        <v>785</v>
      </c>
      <c r="F51" s="6" t="s">
        <v>785</v>
      </c>
      <c r="G51" s="6">
        <v>1488</v>
      </c>
      <c r="H51" s="6">
        <v>373</v>
      </c>
      <c r="I51" s="4" t="s">
        <v>776</v>
      </c>
      <c r="J51" s="4">
        <v>8.4000000000000005E-2</v>
      </c>
      <c r="K51" s="6"/>
      <c r="L51" s="6"/>
      <c r="M51" s="1" t="s">
        <v>133</v>
      </c>
      <c r="N51" s="1" t="s">
        <v>41</v>
      </c>
      <c r="O51" s="1" t="s">
        <v>780</v>
      </c>
      <c r="P51" s="1" t="s">
        <v>41</v>
      </c>
      <c r="Q51" s="1">
        <v>5</v>
      </c>
      <c r="R51" s="1">
        <v>5</v>
      </c>
      <c r="S51" s="1">
        <v>0</v>
      </c>
      <c r="T51" s="1">
        <v>538</v>
      </c>
      <c r="U51" s="1">
        <f>T51+100</f>
        <v>638</v>
      </c>
      <c r="V51" t="s">
        <v>767</v>
      </c>
      <c r="X51" t="s">
        <v>768</v>
      </c>
      <c r="Y51">
        <v>5</v>
      </c>
      <c r="Z51" s="5">
        <v>32.5</v>
      </c>
      <c r="AA51" s="5">
        <f>Z51/AB51</f>
        <v>0.3186243272124783</v>
      </c>
      <c r="AB51" s="5">
        <v>102.001</v>
      </c>
      <c r="AC51" s="2">
        <v>45987</v>
      </c>
      <c r="AD51" s="2">
        <v>45987</v>
      </c>
      <c r="AE51" s="3">
        <v>0.55415509259259255</v>
      </c>
      <c r="AF51" t="s">
        <v>188</v>
      </c>
      <c r="AG51" t="s">
        <v>134</v>
      </c>
      <c r="AH51" t="s">
        <v>135</v>
      </c>
      <c r="AI51" t="s">
        <v>136</v>
      </c>
      <c r="AJ51" t="s">
        <v>137</v>
      </c>
      <c r="AK51" t="s">
        <v>138</v>
      </c>
      <c r="AL51" t="s">
        <v>139</v>
      </c>
      <c r="AM51" t="s">
        <v>140</v>
      </c>
      <c r="AN51" t="s">
        <v>141</v>
      </c>
      <c r="AO51" t="s">
        <v>142</v>
      </c>
      <c r="AP51" t="s">
        <v>143</v>
      </c>
    </row>
    <row r="52" spans="1:42" x14ac:dyDescent="0.2">
      <c r="A52" s="1" t="s">
        <v>521</v>
      </c>
      <c r="B52" s="1" t="s">
        <v>522</v>
      </c>
      <c r="C52" s="1" t="s">
        <v>523</v>
      </c>
      <c r="D52" s="1" t="s">
        <v>524</v>
      </c>
      <c r="E52" s="6" t="s">
        <v>786</v>
      </c>
      <c r="F52" s="6" t="s">
        <v>786</v>
      </c>
      <c r="G52" s="6">
        <v>1488</v>
      </c>
      <c r="H52" s="6">
        <v>373</v>
      </c>
      <c r="I52" s="4" t="s">
        <v>776</v>
      </c>
      <c r="J52" s="4">
        <v>0.183</v>
      </c>
      <c r="K52" s="6"/>
      <c r="L52" s="6"/>
      <c r="M52" s="1" t="s">
        <v>133</v>
      </c>
      <c r="N52" s="1" t="s">
        <v>41</v>
      </c>
      <c r="O52" s="1" t="s">
        <v>780</v>
      </c>
      <c r="P52" s="1" t="s">
        <v>41</v>
      </c>
      <c r="Q52" s="1">
        <v>5</v>
      </c>
      <c r="R52" s="1">
        <v>5</v>
      </c>
      <c r="S52" s="1">
        <v>209</v>
      </c>
      <c r="T52" s="1">
        <v>408</v>
      </c>
      <c r="U52" s="1">
        <f>T52+100</f>
        <v>508</v>
      </c>
      <c r="V52" t="s">
        <v>767</v>
      </c>
      <c r="X52" t="s">
        <v>768</v>
      </c>
      <c r="Y52">
        <v>5</v>
      </c>
      <c r="Z52" s="5">
        <v>32.5</v>
      </c>
      <c r="AA52" s="5">
        <f>Z52/AB52</f>
        <v>0.3186243272124783</v>
      </c>
      <c r="AB52" s="5">
        <v>102.001</v>
      </c>
      <c r="AC52" s="2">
        <v>45987</v>
      </c>
      <c r="AD52" s="2">
        <v>45987</v>
      </c>
      <c r="AE52" s="3">
        <v>0.55331018518518515</v>
      </c>
      <c r="AF52" t="s">
        <v>188</v>
      </c>
      <c r="AG52" t="s">
        <v>134</v>
      </c>
      <c r="AH52" t="s">
        <v>135</v>
      </c>
      <c r="AI52" t="s">
        <v>136</v>
      </c>
      <c r="AJ52" t="s">
        <v>137</v>
      </c>
      <c r="AK52" t="s">
        <v>138</v>
      </c>
      <c r="AL52" t="s">
        <v>139</v>
      </c>
      <c r="AM52" t="s">
        <v>140</v>
      </c>
      <c r="AN52" t="s">
        <v>141</v>
      </c>
      <c r="AO52" t="s">
        <v>142</v>
      </c>
      <c r="AP52" t="s">
        <v>143</v>
      </c>
    </row>
    <row r="53" spans="1:42" x14ac:dyDescent="0.2">
      <c r="A53" s="1" t="s">
        <v>525</v>
      </c>
      <c r="B53" s="1" t="s">
        <v>526</v>
      </c>
      <c r="C53" s="1" t="s">
        <v>527</v>
      </c>
      <c r="D53" s="1" t="s">
        <v>528</v>
      </c>
      <c r="E53" s="6" t="s">
        <v>785</v>
      </c>
      <c r="F53" s="6" t="s">
        <v>785</v>
      </c>
      <c r="G53" s="6">
        <v>1488</v>
      </c>
      <c r="H53" s="6">
        <v>373</v>
      </c>
      <c r="I53" s="4" t="s">
        <v>776</v>
      </c>
      <c r="J53" s="4">
        <v>7.2999999999999995E-2</v>
      </c>
      <c r="K53" s="6"/>
      <c r="L53" s="6"/>
      <c r="M53" s="1" t="s">
        <v>133</v>
      </c>
      <c r="N53" s="1" t="s">
        <v>41</v>
      </c>
      <c r="O53" s="1" t="s">
        <v>780</v>
      </c>
      <c r="P53" s="1" t="s">
        <v>41</v>
      </c>
      <c r="Q53" s="1">
        <v>5</v>
      </c>
      <c r="R53" s="1">
        <v>5</v>
      </c>
      <c r="S53" s="1">
        <v>27</v>
      </c>
      <c r="T53" s="1">
        <v>606</v>
      </c>
      <c r="U53" s="1">
        <f>T53+100</f>
        <v>706</v>
      </c>
      <c r="V53" t="s">
        <v>767</v>
      </c>
      <c r="X53" t="s">
        <v>768</v>
      </c>
      <c r="Y53">
        <v>5</v>
      </c>
      <c r="Z53" s="5">
        <v>32.5</v>
      </c>
      <c r="AA53" s="5">
        <f>Z53/AB53</f>
        <v>0.3186243272124783</v>
      </c>
      <c r="AB53" s="5">
        <v>102.001</v>
      </c>
      <c r="AC53" s="2">
        <v>45987</v>
      </c>
      <c r="AD53" s="2">
        <v>45987</v>
      </c>
      <c r="AE53" s="3">
        <v>0.55292824074074076</v>
      </c>
      <c r="AF53" t="s">
        <v>188</v>
      </c>
      <c r="AG53" t="s">
        <v>134</v>
      </c>
      <c r="AH53" t="s">
        <v>135</v>
      </c>
      <c r="AI53" t="s">
        <v>136</v>
      </c>
      <c r="AJ53" t="s">
        <v>137</v>
      </c>
      <c r="AK53" t="s">
        <v>138</v>
      </c>
      <c r="AL53" t="s">
        <v>139</v>
      </c>
      <c r="AM53" t="s">
        <v>140</v>
      </c>
      <c r="AN53" t="s">
        <v>141</v>
      </c>
      <c r="AO53" t="s">
        <v>142</v>
      </c>
      <c r="AP53" t="s">
        <v>143</v>
      </c>
    </row>
    <row r="54" spans="1:42" x14ac:dyDescent="0.2">
      <c r="A54" s="1" t="s">
        <v>585</v>
      </c>
      <c r="B54" s="1" t="s">
        <v>586</v>
      </c>
      <c r="C54" s="1" t="s">
        <v>587</v>
      </c>
      <c r="D54" s="1" t="s">
        <v>588</v>
      </c>
      <c r="E54" s="6" t="s">
        <v>785</v>
      </c>
      <c r="F54" s="6" t="s">
        <v>785</v>
      </c>
      <c r="G54" s="6">
        <v>1488</v>
      </c>
      <c r="H54" s="6">
        <v>373</v>
      </c>
      <c r="I54" s="4" t="s">
        <v>776</v>
      </c>
      <c r="J54" s="4">
        <v>0.14599999999999999</v>
      </c>
      <c r="K54" s="6"/>
      <c r="L54" s="6"/>
      <c r="M54" s="1" t="s">
        <v>133</v>
      </c>
      <c r="N54" s="1" t="s">
        <v>41</v>
      </c>
      <c r="O54" s="1" t="s">
        <v>780</v>
      </c>
      <c r="P54" s="1" t="s">
        <v>41</v>
      </c>
      <c r="Q54" s="1">
        <v>5</v>
      </c>
      <c r="R54" s="1">
        <v>5</v>
      </c>
      <c r="S54" s="1">
        <v>398</v>
      </c>
      <c r="T54" s="1">
        <v>579</v>
      </c>
      <c r="U54" s="1">
        <f>T54+100</f>
        <v>679</v>
      </c>
      <c r="V54" t="s">
        <v>767</v>
      </c>
      <c r="X54" t="s">
        <v>768</v>
      </c>
      <c r="Y54">
        <v>5</v>
      </c>
      <c r="Z54" s="5">
        <v>32.5</v>
      </c>
      <c r="AA54" s="5">
        <f>Z54/AB54</f>
        <v>0.3186243272124783</v>
      </c>
      <c r="AB54" s="5">
        <v>102.001</v>
      </c>
      <c r="AC54" s="2">
        <v>45987</v>
      </c>
      <c r="AD54" s="2">
        <v>45987</v>
      </c>
      <c r="AE54" s="3">
        <v>0.55511574074074077</v>
      </c>
      <c r="AF54" t="s">
        <v>188</v>
      </c>
      <c r="AG54" t="s">
        <v>134</v>
      </c>
      <c r="AH54" t="s">
        <v>135</v>
      </c>
      <c r="AI54" t="s">
        <v>136</v>
      </c>
      <c r="AJ54" t="s">
        <v>137</v>
      </c>
      <c r="AK54" t="s">
        <v>138</v>
      </c>
      <c r="AL54" t="s">
        <v>139</v>
      </c>
      <c r="AM54" t="s">
        <v>140</v>
      </c>
      <c r="AN54" t="s">
        <v>141</v>
      </c>
      <c r="AO54" t="s">
        <v>142</v>
      </c>
      <c r="AP54" t="s">
        <v>143</v>
      </c>
    </row>
    <row r="55" spans="1:42" x14ac:dyDescent="0.2">
      <c r="A55" s="1" t="s">
        <v>589</v>
      </c>
      <c r="B55" s="1" t="s">
        <v>590</v>
      </c>
      <c r="C55" s="1" t="s">
        <v>591</v>
      </c>
      <c r="D55" s="1" t="s">
        <v>592</v>
      </c>
      <c r="E55" s="6" t="s">
        <v>785</v>
      </c>
      <c r="F55" s="6" t="s">
        <v>785</v>
      </c>
      <c r="G55" s="6">
        <v>1488</v>
      </c>
      <c r="H55" s="6">
        <v>373</v>
      </c>
      <c r="I55" s="4" t="s">
        <v>776</v>
      </c>
      <c r="J55" s="4">
        <v>0.182</v>
      </c>
      <c r="K55" s="6"/>
      <c r="L55" s="6"/>
      <c r="M55" s="1" t="s">
        <v>133</v>
      </c>
      <c r="N55" s="1" t="s">
        <v>25</v>
      </c>
      <c r="O55" s="1" t="s">
        <v>780</v>
      </c>
      <c r="P55" s="1" t="s">
        <v>25</v>
      </c>
      <c r="Q55" s="1">
        <v>5</v>
      </c>
      <c r="R55" s="1">
        <v>5</v>
      </c>
      <c r="S55" s="1">
        <v>273</v>
      </c>
      <c r="T55" s="1">
        <v>303</v>
      </c>
      <c r="U55" s="1">
        <f>T55+100</f>
        <v>403</v>
      </c>
      <c r="V55" t="s">
        <v>767</v>
      </c>
      <c r="X55" t="s">
        <v>768</v>
      </c>
      <c r="Y55">
        <v>5</v>
      </c>
      <c r="Z55" s="5">
        <v>32.5</v>
      </c>
      <c r="AA55" s="5">
        <f>Z55/AB55</f>
        <v>0.3186243272124783</v>
      </c>
      <c r="AB55" s="5">
        <v>102.001</v>
      </c>
      <c r="AC55" s="2">
        <v>45987</v>
      </c>
      <c r="AD55" s="2">
        <v>45987</v>
      </c>
      <c r="AE55" s="3">
        <v>0.50864583333333335</v>
      </c>
      <c r="AF55" t="s">
        <v>188</v>
      </c>
      <c r="AG55" t="s">
        <v>134</v>
      </c>
      <c r="AH55" t="s">
        <v>135</v>
      </c>
      <c r="AI55" t="s">
        <v>136</v>
      </c>
      <c r="AJ55" t="s">
        <v>137</v>
      </c>
      <c r="AK55" t="s">
        <v>138</v>
      </c>
      <c r="AL55" t="s">
        <v>139</v>
      </c>
      <c r="AM55" t="s">
        <v>140</v>
      </c>
      <c r="AN55" t="s">
        <v>141</v>
      </c>
      <c r="AO55" t="s">
        <v>142</v>
      </c>
      <c r="AP55" t="s">
        <v>143</v>
      </c>
    </row>
    <row r="56" spans="1:42" x14ac:dyDescent="0.2">
      <c r="A56" s="1" t="s">
        <v>717</v>
      </c>
      <c r="B56" s="1" t="s">
        <v>718</v>
      </c>
      <c r="C56" s="1" t="s">
        <v>719</v>
      </c>
      <c r="D56" s="1" t="s">
        <v>720</v>
      </c>
      <c r="E56" s="6" t="s">
        <v>785</v>
      </c>
      <c r="F56" s="6" t="s">
        <v>785</v>
      </c>
      <c r="G56" s="6">
        <v>1488</v>
      </c>
      <c r="H56" s="6">
        <v>373</v>
      </c>
      <c r="I56" s="4" t="s">
        <v>776</v>
      </c>
      <c r="J56" s="4">
        <v>0.19400000000000001</v>
      </c>
      <c r="K56" s="6"/>
      <c r="L56" s="6"/>
      <c r="M56" s="1" t="s">
        <v>133</v>
      </c>
      <c r="N56" s="1" t="s">
        <v>25</v>
      </c>
      <c r="O56" s="1" t="s">
        <v>780</v>
      </c>
      <c r="P56" s="1" t="s">
        <v>25</v>
      </c>
      <c r="Q56" s="1">
        <v>5</v>
      </c>
      <c r="R56" s="1">
        <v>5</v>
      </c>
      <c r="S56" s="1">
        <v>208</v>
      </c>
      <c r="T56" s="1">
        <v>514</v>
      </c>
      <c r="U56" s="1">
        <f>T56+100</f>
        <v>614</v>
      </c>
      <c r="V56" t="s">
        <v>767</v>
      </c>
      <c r="X56" t="s">
        <v>768</v>
      </c>
      <c r="Y56">
        <v>5</v>
      </c>
      <c r="Z56" s="5">
        <v>32.5</v>
      </c>
      <c r="AA56" s="5">
        <f>Z56/AB56</f>
        <v>0.3186243272124783</v>
      </c>
      <c r="AB56" s="5">
        <v>102.001</v>
      </c>
      <c r="AC56" s="2">
        <v>45987</v>
      </c>
      <c r="AD56" s="2">
        <v>45987</v>
      </c>
      <c r="AE56" s="3">
        <v>0.50855324074074071</v>
      </c>
      <c r="AF56" t="s">
        <v>188</v>
      </c>
      <c r="AG56" t="s">
        <v>134</v>
      </c>
      <c r="AH56" t="s">
        <v>135</v>
      </c>
      <c r="AI56" t="s">
        <v>136</v>
      </c>
      <c r="AJ56" t="s">
        <v>137</v>
      </c>
      <c r="AK56" t="s">
        <v>138</v>
      </c>
      <c r="AL56" t="s">
        <v>139</v>
      </c>
      <c r="AM56" t="s">
        <v>140</v>
      </c>
      <c r="AN56" t="s">
        <v>141</v>
      </c>
      <c r="AO56" t="s">
        <v>142</v>
      </c>
      <c r="AP56" t="s">
        <v>143</v>
      </c>
    </row>
    <row r="57" spans="1:42" x14ac:dyDescent="0.2">
      <c r="A57" s="1" t="s">
        <v>385</v>
      </c>
      <c r="B57" s="1" t="s">
        <v>386</v>
      </c>
      <c r="C57" s="1" t="s">
        <v>387</v>
      </c>
      <c r="D57" s="1" t="s">
        <v>388</v>
      </c>
      <c r="E57" s="6" t="s">
        <v>785</v>
      </c>
      <c r="F57" s="6" t="s">
        <v>785</v>
      </c>
      <c r="G57" s="6">
        <v>1488</v>
      </c>
      <c r="H57" s="6">
        <v>373</v>
      </c>
      <c r="I57" s="4" t="s">
        <v>776</v>
      </c>
      <c r="J57" s="4">
        <v>0.13700000000000001</v>
      </c>
      <c r="K57" s="6"/>
      <c r="L57" s="6"/>
      <c r="M57" s="1" t="s">
        <v>133</v>
      </c>
      <c r="N57" s="1" t="s">
        <v>41</v>
      </c>
      <c r="O57" s="1" t="s">
        <v>780</v>
      </c>
      <c r="P57" s="1" t="s">
        <v>41</v>
      </c>
      <c r="Q57" s="1">
        <v>6</v>
      </c>
      <c r="R57" s="1">
        <v>6</v>
      </c>
      <c r="S57" s="1">
        <v>72</v>
      </c>
      <c r="T57" s="1">
        <v>114</v>
      </c>
      <c r="U57" s="1">
        <f>T57+100</f>
        <v>214</v>
      </c>
      <c r="V57" t="s">
        <v>767</v>
      </c>
      <c r="X57" t="s">
        <v>768</v>
      </c>
      <c r="Y57">
        <v>5</v>
      </c>
      <c r="Z57" s="5">
        <v>32.5</v>
      </c>
      <c r="AA57" s="5">
        <f>Z57/AB57</f>
        <v>0.3186243272124783</v>
      </c>
      <c r="AB57" s="5">
        <v>102.001</v>
      </c>
      <c r="AC57" s="2">
        <v>45987</v>
      </c>
      <c r="AD57" s="2">
        <v>45987</v>
      </c>
      <c r="AE57" s="3">
        <v>0.56925925925925924</v>
      </c>
      <c r="AF57" t="s">
        <v>188</v>
      </c>
      <c r="AG57" t="s">
        <v>134</v>
      </c>
      <c r="AH57" t="s">
        <v>135</v>
      </c>
      <c r="AI57" t="s">
        <v>136</v>
      </c>
      <c r="AJ57" t="s">
        <v>137</v>
      </c>
      <c r="AK57" t="s">
        <v>138</v>
      </c>
      <c r="AL57" t="s">
        <v>139</v>
      </c>
      <c r="AM57" t="s">
        <v>140</v>
      </c>
      <c r="AN57" t="s">
        <v>141</v>
      </c>
      <c r="AO57" t="s">
        <v>142</v>
      </c>
      <c r="AP57" t="s">
        <v>143</v>
      </c>
    </row>
    <row r="58" spans="1:42" x14ac:dyDescent="0.2">
      <c r="A58" s="1" t="s">
        <v>389</v>
      </c>
      <c r="B58" s="1" t="s">
        <v>390</v>
      </c>
      <c r="C58" s="1" t="s">
        <v>391</v>
      </c>
      <c r="D58" s="1" t="s">
        <v>392</v>
      </c>
      <c r="E58" s="6" t="s">
        <v>786</v>
      </c>
      <c r="F58" s="6" t="s">
        <v>786</v>
      </c>
      <c r="G58" s="6">
        <v>1488</v>
      </c>
      <c r="H58" s="6">
        <v>373</v>
      </c>
      <c r="I58" s="4" t="s">
        <v>776</v>
      </c>
      <c r="J58" s="4">
        <v>0.123</v>
      </c>
      <c r="K58" s="6"/>
      <c r="L58" s="6"/>
      <c r="M58" s="1" t="s">
        <v>133</v>
      </c>
      <c r="N58" s="1" t="s">
        <v>41</v>
      </c>
      <c r="O58" s="1" t="s">
        <v>780</v>
      </c>
      <c r="P58" s="1" t="s">
        <v>41</v>
      </c>
      <c r="Q58" s="1">
        <v>6</v>
      </c>
      <c r="R58" s="1">
        <v>6</v>
      </c>
      <c r="S58" s="1">
        <v>501</v>
      </c>
      <c r="T58" s="1">
        <v>557</v>
      </c>
      <c r="U58" s="1">
        <f>T58+100</f>
        <v>657</v>
      </c>
      <c r="V58" t="s">
        <v>767</v>
      </c>
      <c r="X58" t="s">
        <v>768</v>
      </c>
      <c r="Y58">
        <v>5</v>
      </c>
      <c r="Z58" s="5">
        <v>32.5</v>
      </c>
      <c r="AA58" s="5">
        <f>Z58/AB58</f>
        <v>0.3186243272124783</v>
      </c>
      <c r="AB58" s="5">
        <v>102.001</v>
      </c>
      <c r="AC58" s="2">
        <v>45987</v>
      </c>
      <c r="AD58" s="2">
        <v>45987</v>
      </c>
      <c r="AE58" s="3">
        <v>0.56915509259259256</v>
      </c>
      <c r="AF58" t="s">
        <v>188</v>
      </c>
      <c r="AG58" t="s">
        <v>134</v>
      </c>
      <c r="AH58" t="s">
        <v>135</v>
      </c>
      <c r="AI58" t="s">
        <v>136</v>
      </c>
      <c r="AJ58" t="s">
        <v>137</v>
      </c>
      <c r="AK58" t="s">
        <v>138</v>
      </c>
      <c r="AL58" t="s">
        <v>139</v>
      </c>
      <c r="AM58" t="s">
        <v>140</v>
      </c>
      <c r="AN58" t="s">
        <v>141</v>
      </c>
      <c r="AO58" t="s">
        <v>142</v>
      </c>
      <c r="AP58" t="s">
        <v>143</v>
      </c>
    </row>
    <row r="59" spans="1:42" x14ac:dyDescent="0.2">
      <c r="A59" s="1" t="s">
        <v>393</v>
      </c>
      <c r="B59" s="1" t="s">
        <v>394</v>
      </c>
      <c r="C59" s="1" t="s">
        <v>395</v>
      </c>
      <c r="D59" s="1" t="s">
        <v>396</v>
      </c>
      <c r="E59" s="6" t="s">
        <v>785</v>
      </c>
      <c r="F59" s="6" t="s">
        <v>785</v>
      </c>
      <c r="G59" s="6">
        <v>1488</v>
      </c>
      <c r="H59" s="6">
        <v>373</v>
      </c>
      <c r="I59" s="4" t="s">
        <v>776</v>
      </c>
      <c r="J59" s="4">
        <v>0.115</v>
      </c>
      <c r="K59" s="6"/>
      <c r="L59" s="6"/>
      <c r="M59" s="1" t="s">
        <v>133</v>
      </c>
      <c r="N59" s="1" t="s">
        <v>41</v>
      </c>
      <c r="O59" s="1" t="s">
        <v>780</v>
      </c>
      <c r="P59" s="1" t="s">
        <v>41</v>
      </c>
      <c r="Q59" s="1">
        <v>6</v>
      </c>
      <c r="R59" s="1">
        <v>6</v>
      </c>
      <c r="S59" s="1">
        <v>327</v>
      </c>
      <c r="T59" s="1">
        <v>400</v>
      </c>
      <c r="U59" s="1">
        <f>T59+100</f>
        <v>500</v>
      </c>
      <c r="V59" t="s">
        <v>767</v>
      </c>
      <c r="X59" t="s">
        <v>768</v>
      </c>
      <c r="Y59">
        <v>5</v>
      </c>
      <c r="Z59" s="5">
        <v>32.5</v>
      </c>
      <c r="AA59" s="5">
        <f>Z59/AB59</f>
        <v>0.3186243272124783</v>
      </c>
      <c r="AB59" s="5">
        <v>102.001</v>
      </c>
      <c r="AC59" s="2">
        <v>45987</v>
      </c>
      <c r="AD59" s="2">
        <v>45987</v>
      </c>
      <c r="AE59" s="3">
        <v>0.56857638888888884</v>
      </c>
      <c r="AF59" t="s">
        <v>188</v>
      </c>
      <c r="AG59" t="s">
        <v>134</v>
      </c>
      <c r="AH59" t="s">
        <v>135</v>
      </c>
      <c r="AI59" t="s">
        <v>136</v>
      </c>
      <c r="AJ59" t="s">
        <v>137</v>
      </c>
      <c r="AK59" t="s">
        <v>138</v>
      </c>
      <c r="AL59" t="s">
        <v>139</v>
      </c>
      <c r="AM59" t="s">
        <v>140</v>
      </c>
      <c r="AN59" t="s">
        <v>141</v>
      </c>
      <c r="AO59" t="s">
        <v>142</v>
      </c>
      <c r="AP59" t="s">
        <v>143</v>
      </c>
    </row>
    <row r="60" spans="1:42" x14ac:dyDescent="0.2">
      <c r="A60" s="1" t="s">
        <v>397</v>
      </c>
      <c r="B60" s="1" t="s">
        <v>398</v>
      </c>
      <c r="C60" s="1" t="s">
        <v>399</v>
      </c>
      <c r="D60" s="1" t="s">
        <v>400</v>
      </c>
      <c r="E60" s="6" t="s">
        <v>785</v>
      </c>
      <c r="F60" s="6" t="s">
        <v>785</v>
      </c>
      <c r="G60" s="6">
        <v>1488</v>
      </c>
      <c r="H60" s="6">
        <v>373</v>
      </c>
      <c r="I60" s="4" t="s">
        <v>776</v>
      </c>
      <c r="J60" s="4">
        <v>8.5000000000000006E-2</v>
      </c>
      <c r="K60" s="6"/>
      <c r="L60" s="6"/>
      <c r="M60" s="1" t="s">
        <v>133</v>
      </c>
      <c r="N60" s="1" t="s">
        <v>41</v>
      </c>
      <c r="O60" s="1" t="s">
        <v>780</v>
      </c>
      <c r="P60" s="1" t="s">
        <v>41</v>
      </c>
      <c r="Q60" s="1">
        <v>6</v>
      </c>
      <c r="R60" s="1">
        <v>6</v>
      </c>
      <c r="S60" s="1">
        <v>248</v>
      </c>
      <c r="T60" s="1">
        <v>425</v>
      </c>
      <c r="U60" s="1">
        <f>T60+100</f>
        <v>525</v>
      </c>
      <c r="V60" t="s">
        <v>767</v>
      </c>
      <c r="X60" t="s">
        <v>768</v>
      </c>
      <c r="Y60">
        <v>5</v>
      </c>
      <c r="Z60" s="5">
        <v>32.5</v>
      </c>
      <c r="AA60" s="5">
        <f>Z60/AB60</f>
        <v>0.3186243272124783</v>
      </c>
      <c r="AB60" s="5">
        <v>102.001</v>
      </c>
      <c r="AC60" s="2">
        <v>45987</v>
      </c>
      <c r="AD60" s="2">
        <v>45987</v>
      </c>
      <c r="AE60" s="3">
        <v>0.56815972222222222</v>
      </c>
      <c r="AF60" t="s">
        <v>188</v>
      </c>
      <c r="AG60" t="s">
        <v>134</v>
      </c>
      <c r="AH60" t="s">
        <v>135</v>
      </c>
      <c r="AI60" t="s">
        <v>136</v>
      </c>
      <c r="AJ60" t="s">
        <v>137</v>
      </c>
      <c r="AK60" t="s">
        <v>138</v>
      </c>
      <c r="AL60" t="s">
        <v>139</v>
      </c>
      <c r="AM60" t="s">
        <v>140</v>
      </c>
      <c r="AN60" t="s">
        <v>141</v>
      </c>
      <c r="AO60" t="s">
        <v>142</v>
      </c>
      <c r="AP60" t="s">
        <v>143</v>
      </c>
    </row>
    <row r="61" spans="1:42" x14ac:dyDescent="0.2">
      <c r="A61" s="1" t="s">
        <v>401</v>
      </c>
      <c r="B61" s="1" t="s">
        <v>402</v>
      </c>
      <c r="C61" s="1" t="s">
        <v>403</v>
      </c>
      <c r="D61" s="1" t="s">
        <v>404</v>
      </c>
      <c r="E61" s="6" t="s">
        <v>785</v>
      </c>
      <c r="F61" s="6" t="s">
        <v>785</v>
      </c>
      <c r="G61" s="6">
        <v>1488</v>
      </c>
      <c r="H61" s="6">
        <v>373</v>
      </c>
      <c r="I61" s="4" t="s">
        <v>776</v>
      </c>
      <c r="J61" s="4">
        <v>0.26</v>
      </c>
      <c r="K61" s="6"/>
      <c r="L61" s="6"/>
      <c r="M61" s="1" t="s">
        <v>133</v>
      </c>
      <c r="N61" s="1" t="s">
        <v>41</v>
      </c>
      <c r="O61" s="1" t="s">
        <v>780</v>
      </c>
      <c r="P61" s="1" t="s">
        <v>41</v>
      </c>
      <c r="Q61" s="1">
        <v>6</v>
      </c>
      <c r="R61" s="1">
        <v>6</v>
      </c>
      <c r="S61" s="1">
        <v>550</v>
      </c>
      <c r="T61" s="1">
        <v>582</v>
      </c>
      <c r="U61" s="1">
        <f>T61+100</f>
        <v>682</v>
      </c>
      <c r="V61" t="s">
        <v>767</v>
      </c>
      <c r="X61" t="s">
        <v>768</v>
      </c>
      <c r="Y61">
        <v>5</v>
      </c>
      <c r="Z61" s="5">
        <v>32.5</v>
      </c>
      <c r="AA61" s="5">
        <f>Z61/AB61</f>
        <v>0.3186243272124783</v>
      </c>
      <c r="AB61" s="5">
        <v>102.001</v>
      </c>
      <c r="AC61" s="2">
        <v>45987</v>
      </c>
      <c r="AD61" s="2">
        <v>45987</v>
      </c>
      <c r="AE61" s="3">
        <v>0.5680439814814815</v>
      </c>
      <c r="AF61" t="s">
        <v>188</v>
      </c>
      <c r="AG61" t="s">
        <v>134</v>
      </c>
      <c r="AH61" t="s">
        <v>135</v>
      </c>
      <c r="AI61" t="s">
        <v>136</v>
      </c>
      <c r="AJ61" t="s">
        <v>137</v>
      </c>
      <c r="AK61" t="s">
        <v>138</v>
      </c>
      <c r="AL61" t="s">
        <v>139</v>
      </c>
      <c r="AM61" t="s">
        <v>140</v>
      </c>
      <c r="AN61" t="s">
        <v>141</v>
      </c>
      <c r="AO61" t="s">
        <v>142</v>
      </c>
      <c r="AP61" t="s">
        <v>143</v>
      </c>
    </row>
    <row r="62" spans="1:42" x14ac:dyDescent="0.2">
      <c r="A62" s="1" t="s">
        <v>405</v>
      </c>
      <c r="B62" s="1" t="s">
        <v>406</v>
      </c>
      <c r="C62" s="1" t="s">
        <v>407</v>
      </c>
      <c r="D62" s="1" t="s">
        <v>408</v>
      </c>
      <c r="E62" s="6" t="s">
        <v>785</v>
      </c>
      <c r="F62" s="6" t="s">
        <v>785</v>
      </c>
      <c r="G62" s="6">
        <v>1488</v>
      </c>
      <c r="H62" s="6">
        <v>373</v>
      </c>
      <c r="I62" s="4" t="s">
        <v>776</v>
      </c>
      <c r="J62" s="4">
        <v>0.30399999999999999</v>
      </c>
      <c r="K62" s="6"/>
      <c r="L62" s="6"/>
      <c r="M62" s="1" t="s">
        <v>133</v>
      </c>
      <c r="N62" s="1" t="s">
        <v>41</v>
      </c>
      <c r="O62" s="1" t="s">
        <v>780</v>
      </c>
      <c r="P62" s="1" t="s">
        <v>41</v>
      </c>
      <c r="Q62" s="1">
        <v>6</v>
      </c>
      <c r="R62" s="1">
        <v>6</v>
      </c>
      <c r="S62" s="1">
        <v>405</v>
      </c>
      <c r="T62" s="1">
        <v>445</v>
      </c>
      <c r="U62" s="1">
        <f>T62+100</f>
        <v>545</v>
      </c>
      <c r="V62" t="s">
        <v>767</v>
      </c>
      <c r="X62" t="s">
        <v>768</v>
      </c>
      <c r="Y62">
        <v>5</v>
      </c>
      <c r="Z62" s="5">
        <v>32.5</v>
      </c>
      <c r="AA62" s="5">
        <f>Z62/AB62</f>
        <v>0.3186243272124783</v>
      </c>
      <c r="AB62" s="5">
        <v>102.001</v>
      </c>
      <c r="AC62" s="2">
        <v>45987</v>
      </c>
      <c r="AD62" s="2">
        <v>45987</v>
      </c>
      <c r="AE62" s="3">
        <v>0.5677430555555556</v>
      </c>
      <c r="AF62" t="s">
        <v>188</v>
      </c>
      <c r="AG62" t="s">
        <v>134</v>
      </c>
      <c r="AH62" t="s">
        <v>135</v>
      </c>
      <c r="AI62" t="s">
        <v>136</v>
      </c>
      <c r="AJ62" t="s">
        <v>137</v>
      </c>
      <c r="AK62" t="s">
        <v>138</v>
      </c>
      <c r="AL62" t="s">
        <v>139</v>
      </c>
      <c r="AM62" t="s">
        <v>140</v>
      </c>
      <c r="AN62" t="s">
        <v>141</v>
      </c>
      <c r="AO62" t="s">
        <v>142</v>
      </c>
      <c r="AP62" t="s">
        <v>143</v>
      </c>
    </row>
    <row r="63" spans="1:42" x14ac:dyDescent="0.2">
      <c r="A63" s="1" t="s">
        <v>409</v>
      </c>
      <c r="B63" s="1" t="s">
        <v>410</v>
      </c>
      <c r="C63" s="1" t="s">
        <v>411</v>
      </c>
      <c r="D63" s="1" t="s">
        <v>412</v>
      </c>
      <c r="E63" s="6" t="s">
        <v>785</v>
      </c>
      <c r="F63" s="6" t="s">
        <v>785</v>
      </c>
      <c r="G63" s="6">
        <v>1488</v>
      </c>
      <c r="H63" s="6">
        <v>373</v>
      </c>
      <c r="I63" s="4" t="s">
        <v>776</v>
      </c>
      <c r="J63" s="4">
        <v>0.3</v>
      </c>
      <c r="K63" s="6"/>
      <c r="L63" s="6"/>
      <c r="M63" s="1" t="s">
        <v>133</v>
      </c>
      <c r="N63" s="1" t="s">
        <v>41</v>
      </c>
      <c r="O63" s="1" t="s">
        <v>780</v>
      </c>
      <c r="P63" s="1" t="s">
        <v>41</v>
      </c>
      <c r="Q63" s="1">
        <v>6</v>
      </c>
      <c r="R63" s="1">
        <v>6</v>
      </c>
      <c r="S63" s="1">
        <v>403</v>
      </c>
      <c r="T63" s="1">
        <v>444</v>
      </c>
      <c r="U63" s="1">
        <f>T63+100</f>
        <v>544</v>
      </c>
      <c r="V63" t="s">
        <v>767</v>
      </c>
      <c r="X63" t="s">
        <v>768</v>
      </c>
      <c r="Y63">
        <v>5</v>
      </c>
      <c r="Z63" s="5">
        <v>32.5</v>
      </c>
      <c r="AA63" s="5">
        <f>Z63/AB63</f>
        <v>0.3186243272124783</v>
      </c>
      <c r="AB63" s="5">
        <v>102.001</v>
      </c>
      <c r="AC63" s="2">
        <v>45987</v>
      </c>
      <c r="AD63" s="2">
        <v>45987</v>
      </c>
      <c r="AE63" s="3">
        <v>0.56761574074074073</v>
      </c>
      <c r="AF63" t="s">
        <v>188</v>
      </c>
      <c r="AG63" t="s">
        <v>134</v>
      </c>
      <c r="AH63" t="s">
        <v>135</v>
      </c>
      <c r="AI63" t="s">
        <v>136</v>
      </c>
      <c r="AJ63" t="s">
        <v>137</v>
      </c>
      <c r="AK63" t="s">
        <v>138</v>
      </c>
      <c r="AL63" t="s">
        <v>139</v>
      </c>
      <c r="AM63" t="s">
        <v>140</v>
      </c>
      <c r="AN63" t="s">
        <v>141</v>
      </c>
      <c r="AO63" t="s">
        <v>142</v>
      </c>
      <c r="AP63" t="s">
        <v>143</v>
      </c>
    </row>
    <row r="64" spans="1:42" x14ac:dyDescent="0.2">
      <c r="A64" s="1" t="s">
        <v>413</v>
      </c>
      <c r="B64" s="1" t="s">
        <v>414</v>
      </c>
      <c r="C64" s="1" t="s">
        <v>415</v>
      </c>
      <c r="D64" s="1" t="s">
        <v>416</v>
      </c>
      <c r="E64" s="6" t="s">
        <v>785</v>
      </c>
      <c r="F64" s="6" t="s">
        <v>785</v>
      </c>
      <c r="G64" s="6">
        <v>1488</v>
      </c>
      <c r="H64" s="6">
        <v>373</v>
      </c>
      <c r="I64" s="4" t="s">
        <v>776</v>
      </c>
      <c r="J64" s="4">
        <v>7.4999999999999997E-2</v>
      </c>
      <c r="K64" s="6"/>
      <c r="L64" s="6"/>
      <c r="M64" s="1" t="s">
        <v>133</v>
      </c>
      <c r="N64" s="1" t="s">
        <v>41</v>
      </c>
      <c r="O64" s="1" t="s">
        <v>780</v>
      </c>
      <c r="P64" s="1" t="s">
        <v>41</v>
      </c>
      <c r="Q64" s="1">
        <v>6</v>
      </c>
      <c r="R64" s="1">
        <v>6</v>
      </c>
      <c r="S64" s="1">
        <v>0</v>
      </c>
      <c r="T64" s="1">
        <v>62</v>
      </c>
      <c r="U64" s="1">
        <f>T64+100</f>
        <v>162</v>
      </c>
      <c r="V64" t="s">
        <v>767</v>
      </c>
      <c r="X64" t="s">
        <v>768</v>
      </c>
      <c r="Y64">
        <v>5</v>
      </c>
      <c r="Z64" s="5">
        <v>32.5</v>
      </c>
      <c r="AA64" s="5">
        <f>Z64/AB64</f>
        <v>0.3186243272124783</v>
      </c>
      <c r="AB64" s="5">
        <v>102.001</v>
      </c>
      <c r="AC64" s="2">
        <v>45987</v>
      </c>
      <c r="AD64" s="2">
        <v>45987</v>
      </c>
      <c r="AE64" s="3">
        <v>0.57010416666666663</v>
      </c>
      <c r="AF64" t="s">
        <v>188</v>
      </c>
      <c r="AG64" t="s">
        <v>134</v>
      </c>
      <c r="AH64" t="s">
        <v>135</v>
      </c>
      <c r="AI64" t="s">
        <v>136</v>
      </c>
      <c r="AJ64" t="s">
        <v>137</v>
      </c>
      <c r="AK64" t="s">
        <v>138</v>
      </c>
      <c r="AL64" t="s">
        <v>139</v>
      </c>
      <c r="AM64" t="s">
        <v>140</v>
      </c>
      <c r="AN64" t="s">
        <v>141</v>
      </c>
      <c r="AO64" t="s">
        <v>142</v>
      </c>
      <c r="AP64" t="s">
        <v>143</v>
      </c>
    </row>
    <row r="65" spans="1:42" x14ac:dyDescent="0.2">
      <c r="A65" s="1" t="s">
        <v>417</v>
      </c>
      <c r="B65" s="1" t="s">
        <v>418</v>
      </c>
      <c r="C65" s="1" t="s">
        <v>419</v>
      </c>
      <c r="D65" s="1" t="s">
        <v>420</v>
      </c>
      <c r="E65" s="6" t="s">
        <v>785</v>
      </c>
      <c r="F65" s="6" t="s">
        <v>785</v>
      </c>
      <c r="G65" s="6">
        <v>1488</v>
      </c>
      <c r="H65" s="6">
        <v>373</v>
      </c>
      <c r="I65" s="4" t="s">
        <v>776</v>
      </c>
      <c r="J65" s="4">
        <v>0.16600000000000001</v>
      </c>
      <c r="K65" s="6"/>
      <c r="L65" s="6"/>
      <c r="M65" s="1" t="s">
        <v>133</v>
      </c>
      <c r="N65" s="1" t="s">
        <v>41</v>
      </c>
      <c r="O65" s="1" t="s">
        <v>780</v>
      </c>
      <c r="P65" s="1" t="s">
        <v>41</v>
      </c>
      <c r="Q65" s="1">
        <v>6</v>
      </c>
      <c r="R65" s="1">
        <v>6</v>
      </c>
      <c r="S65" s="1">
        <v>353</v>
      </c>
      <c r="T65" s="1">
        <v>375</v>
      </c>
      <c r="U65" s="1">
        <f>T65+100</f>
        <v>475</v>
      </c>
      <c r="V65" t="s">
        <v>767</v>
      </c>
      <c r="X65" t="s">
        <v>768</v>
      </c>
      <c r="Y65">
        <v>5</v>
      </c>
      <c r="Z65" s="5">
        <v>32.5</v>
      </c>
      <c r="AA65" s="5">
        <f>Z65/AB65</f>
        <v>0.3186243272124783</v>
      </c>
      <c r="AB65" s="5">
        <v>102.001</v>
      </c>
      <c r="AC65" s="2">
        <v>45987</v>
      </c>
      <c r="AD65" s="2">
        <v>45987</v>
      </c>
      <c r="AE65" s="3">
        <v>0.56460648148148151</v>
      </c>
      <c r="AF65" t="s">
        <v>188</v>
      </c>
      <c r="AG65" t="s">
        <v>134</v>
      </c>
      <c r="AH65" t="s">
        <v>135</v>
      </c>
      <c r="AI65" t="s">
        <v>136</v>
      </c>
      <c r="AJ65" t="s">
        <v>137</v>
      </c>
      <c r="AK65" t="s">
        <v>138</v>
      </c>
      <c r="AL65" t="s">
        <v>139</v>
      </c>
      <c r="AM65" t="s">
        <v>140</v>
      </c>
      <c r="AN65" t="s">
        <v>141</v>
      </c>
      <c r="AO65" t="s">
        <v>142</v>
      </c>
      <c r="AP65" t="s">
        <v>143</v>
      </c>
    </row>
    <row r="66" spans="1:42" x14ac:dyDescent="0.2">
      <c r="A66" s="1" t="s">
        <v>421</v>
      </c>
      <c r="B66" s="1" t="s">
        <v>422</v>
      </c>
      <c r="C66" s="1" t="s">
        <v>423</v>
      </c>
      <c r="D66" s="1" t="s">
        <v>424</v>
      </c>
      <c r="E66" s="6" t="s">
        <v>785</v>
      </c>
      <c r="F66" s="6" t="s">
        <v>785</v>
      </c>
      <c r="G66" s="6">
        <v>1488</v>
      </c>
      <c r="H66" s="6">
        <v>373</v>
      </c>
      <c r="I66" s="4" t="s">
        <v>776</v>
      </c>
      <c r="J66" s="4">
        <v>0.127</v>
      </c>
      <c r="K66" s="6"/>
      <c r="L66" s="6"/>
      <c r="M66" s="1" t="s">
        <v>133</v>
      </c>
      <c r="N66" s="1" t="s">
        <v>41</v>
      </c>
      <c r="O66" s="1" t="s">
        <v>780</v>
      </c>
      <c r="P66" s="1" t="s">
        <v>41</v>
      </c>
      <c r="Q66" s="1">
        <v>6</v>
      </c>
      <c r="R66" s="1">
        <v>6</v>
      </c>
      <c r="S66" s="1">
        <v>540</v>
      </c>
      <c r="T66" s="1">
        <v>564</v>
      </c>
      <c r="U66" s="1">
        <f>T66+100</f>
        <v>664</v>
      </c>
      <c r="V66" t="s">
        <v>767</v>
      </c>
      <c r="X66" t="s">
        <v>768</v>
      </c>
      <c r="Y66">
        <v>5</v>
      </c>
      <c r="Z66" s="5">
        <v>32.5</v>
      </c>
      <c r="AA66" s="5">
        <f>Z66/AB66</f>
        <v>0.3186243272124783</v>
      </c>
      <c r="AB66" s="5">
        <v>102.001</v>
      </c>
      <c r="AC66" s="2">
        <v>45987</v>
      </c>
      <c r="AD66" s="2">
        <v>45987</v>
      </c>
      <c r="AE66" s="3">
        <v>0.5644675925925926</v>
      </c>
      <c r="AF66" t="s">
        <v>188</v>
      </c>
      <c r="AG66" t="s">
        <v>134</v>
      </c>
      <c r="AH66" t="s">
        <v>135</v>
      </c>
      <c r="AI66" t="s">
        <v>136</v>
      </c>
      <c r="AJ66" t="s">
        <v>137</v>
      </c>
      <c r="AK66" t="s">
        <v>138</v>
      </c>
      <c r="AL66" t="s">
        <v>139</v>
      </c>
      <c r="AM66" t="s">
        <v>140</v>
      </c>
      <c r="AN66" t="s">
        <v>141</v>
      </c>
      <c r="AO66" t="s">
        <v>142</v>
      </c>
      <c r="AP66" t="s">
        <v>143</v>
      </c>
    </row>
    <row r="67" spans="1:42" x14ac:dyDescent="0.2">
      <c r="A67" s="1" t="s">
        <v>433</v>
      </c>
      <c r="B67" s="1" t="s">
        <v>434</v>
      </c>
      <c r="C67" s="1" t="s">
        <v>435</v>
      </c>
      <c r="D67" s="1" t="s">
        <v>436</v>
      </c>
      <c r="E67" s="6" t="s">
        <v>785</v>
      </c>
      <c r="F67" s="6" t="s">
        <v>785</v>
      </c>
      <c r="G67" s="6">
        <v>1488</v>
      </c>
      <c r="H67" s="6">
        <v>373</v>
      </c>
      <c r="I67" s="4" t="s">
        <v>776</v>
      </c>
      <c r="J67" s="4">
        <v>5.2999999999999999E-2</v>
      </c>
      <c r="K67" s="6"/>
      <c r="L67" s="6"/>
      <c r="M67" s="1" t="s">
        <v>133</v>
      </c>
      <c r="N67" s="1" t="s">
        <v>41</v>
      </c>
      <c r="O67" s="1" t="s">
        <v>780</v>
      </c>
      <c r="P67" s="1" t="s">
        <v>41</v>
      </c>
      <c r="Q67" s="1">
        <v>6</v>
      </c>
      <c r="R67" s="1">
        <v>6</v>
      </c>
      <c r="S67" s="1">
        <v>380</v>
      </c>
      <c r="T67" s="1">
        <v>572</v>
      </c>
      <c r="U67" s="1">
        <f>T67+100</f>
        <v>672</v>
      </c>
      <c r="V67" t="s">
        <v>767</v>
      </c>
      <c r="X67" t="s">
        <v>768</v>
      </c>
      <c r="Y67">
        <v>5</v>
      </c>
      <c r="Z67" s="5">
        <v>32.5</v>
      </c>
      <c r="AA67" s="5">
        <f>Z67/AB67</f>
        <v>0.3186243272124783</v>
      </c>
      <c r="AB67" s="5">
        <v>102.001</v>
      </c>
      <c r="AC67" s="2">
        <v>45987</v>
      </c>
      <c r="AD67" s="2">
        <v>45987</v>
      </c>
      <c r="AE67" s="3">
        <v>0.57033564814814819</v>
      </c>
      <c r="AF67" t="s">
        <v>188</v>
      </c>
      <c r="AG67" t="s">
        <v>134</v>
      </c>
      <c r="AH67" t="s">
        <v>135</v>
      </c>
      <c r="AI67" t="s">
        <v>136</v>
      </c>
      <c r="AJ67" t="s">
        <v>137</v>
      </c>
      <c r="AK67" t="s">
        <v>138</v>
      </c>
      <c r="AL67" t="s">
        <v>139</v>
      </c>
      <c r="AM67" t="s">
        <v>140</v>
      </c>
      <c r="AN67" t="s">
        <v>141</v>
      </c>
      <c r="AO67" t="s">
        <v>142</v>
      </c>
      <c r="AP67" t="s">
        <v>143</v>
      </c>
    </row>
    <row r="68" spans="1:42" x14ac:dyDescent="0.2">
      <c r="A68" s="1" t="s">
        <v>477</v>
      </c>
      <c r="B68" s="1" t="s">
        <v>478</v>
      </c>
      <c r="C68" s="1" t="s">
        <v>479</v>
      </c>
      <c r="D68" s="1" t="s">
        <v>480</v>
      </c>
      <c r="E68" s="6" t="s">
        <v>785</v>
      </c>
      <c r="F68" s="6" t="s">
        <v>785</v>
      </c>
      <c r="G68" s="6">
        <v>1488</v>
      </c>
      <c r="H68" s="6">
        <v>373</v>
      </c>
      <c r="I68" s="4" t="s">
        <v>776</v>
      </c>
      <c r="J68" s="4">
        <v>0.22700000000000001</v>
      </c>
      <c r="K68" s="6"/>
      <c r="L68" s="6"/>
      <c r="M68" s="1" t="s">
        <v>133</v>
      </c>
      <c r="N68" s="1" t="s">
        <v>25</v>
      </c>
      <c r="O68" s="1" t="s">
        <v>780</v>
      </c>
      <c r="P68" s="1" t="s">
        <v>25</v>
      </c>
      <c r="Q68" s="1">
        <v>6</v>
      </c>
      <c r="R68" s="1">
        <v>6</v>
      </c>
      <c r="S68" s="1">
        <v>635</v>
      </c>
      <c r="T68" s="1">
        <v>725</v>
      </c>
      <c r="U68" s="1">
        <f>T68+100</f>
        <v>825</v>
      </c>
      <c r="V68" t="s">
        <v>767</v>
      </c>
      <c r="X68" t="s">
        <v>768</v>
      </c>
      <c r="Y68">
        <v>5</v>
      </c>
      <c r="Z68" s="5">
        <v>32.5</v>
      </c>
      <c r="AA68" s="5">
        <f>Z68/AB68</f>
        <v>0.3186243272124783</v>
      </c>
      <c r="AB68" s="5">
        <v>102.001</v>
      </c>
      <c r="AC68" s="2">
        <v>45987</v>
      </c>
      <c r="AD68" s="2">
        <v>45987</v>
      </c>
      <c r="AE68" s="3">
        <v>0.51611111111111108</v>
      </c>
      <c r="AF68" t="s">
        <v>188</v>
      </c>
      <c r="AG68" t="s">
        <v>134</v>
      </c>
      <c r="AH68" t="s">
        <v>135</v>
      </c>
      <c r="AI68" t="s">
        <v>136</v>
      </c>
      <c r="AJ68" t="s">
        <v>137</v>
      </c>
      <c r="AK68" t="s">
        <v>138</v>
      </c>
      <c r="AL68" t="s">
        <v>139</v>
      </c>
      <c r="AM68" t="s">
        <v>140</v>
      </c>
      <c r="AN68" t="s">
        <v>141</v>
      </c>
      <c r="AO68" t="s">
        <v>142</v>
      </c>
      <c r="AP68" t="s">
        <v>143</v>
      </c>
    </row>
    <row r="69" spans="1:42" x14ac:dyDescent="0.2">
      <c r="A69" s="1" t="s">
        <v>481</v>
      </c>
      <c r="B69" s="1" t="s">
        <v>482</v>
      </c>
      <c r="C69" s="1" t="s">
        <v>483</v>
      </c>
      <c r="D69" s="1" t="s">
        <v>484</v>
      </c>
      <c r="E69" s="6" t="s">
        <v>785</v>
      </c>
      <c r="F69" s="6" t="s">
        <v>785</v>
      </c>
      <c r="G69" s="6">
        <v>1488</v>
      </c>
      <c r="H69" s="6">
        <v>373</v>
      </c>
      <c r="I69" s="4" t="s">
        <v>776</v>
      </c>
      <c r="J69" s="4">
        <v>6.8000000000000005E-2</v>
      </c>
      <c r="K69" s="6"/>
      <c r="L69" s="6"/>
      <c r="M69" s="1" t="s">
        <v>133</v>
      </c>
      <c r="N69" s="1" t="s">
        <v>25</v>
      </c>
      <c r="O69" s="1" t="s">
        <v>780</v>
      </c>
      <c r="P69" s="1" t="s">
        <v>25</v>
      </c>
      <c r="Q69" s="1">
        <v>6</v>
      </c>
      <c r="R69" s="1">
        <v>6</v>
      </c>
      <c r="S69" s="1">
        <v>0</v>
      </c>
      <c r="T69" s="1">
        <v>50</v>
      </c>
      <c r="U69" s="1">
        <f>T69+100</f>
        <v>150</v>
      </c>
      <c r="V69" t="s">
        <v>767</v>
      </c>
      <c r="X69" t="s">
        <v>768</v>
      </c>
      <c r="Y69">
        <v>5</v>
      </c>
      <c r="Z69" s="5">
        <v>32.5</v>
      </c>
      <c r="AA69" s="5">
        <f>Z69/AB69</f>
        <v>0.3186243272124783</v>
      </c>
      <c r="AB69" s="5">
        <v>102.001</v>
      </c>
      <c r="AC69" s="2">
        <v>45987</v>
      </c>
      <c r="AD69" s="2">
        <v>45987</v>
      </c>
      <c r="AE69" s="3">
        <v>0.51864583333333336</v>
      </c>
      <c r="AF69" t="s">
        <v>188</v>
      </c>
      <c r="AG69" t="s">
        <v>134</v>
      </c>
      <c r="AH69" t="s">
        <v>135</v>
      </c>
      <c r="AI69" t="s">
        <v>136</v>
      </c>
      <c r="AJ69" t="s">
        <v>137</v>
      </c>
      <c r="AK69" t="s">
        <v>138</v>
      </c>
      <c r="AL69" t="s">
        <v>139</v>
      </c>
      <c r="AM69" t="s">
        <v>140</v>
      </c>
      <c r="AN69" t="s">
        <v>141</v>
      </c>
      <c r="AO69" t="s">
        <v>142</v>
      </c>
      <c r="AP69" t="s">
        <v>143</v>
      </c>
    </row>
    <row r="70" spans="1:42" x14ac:dyDescent="0.2">
      <c r="A70" s="1" t="s">
        <v>485</v>
      </c>
      <c r="B70" s="1" t="s">
        <v>486</v>
      </c>
      <c r="C70" s="1" t="s">
        <v>487</v>
      </c>
      <c r="D70" s="1" t="s">
        <v>488</v>
      </c>
      <c r="E70" s="6" t="s">
        <v>785</v>
      </c>
      <c r="F70" s="6" t="s">
        <v>785</v>
      </c>
      <c r="G70" s="6">
        <v>1488</v>
      </c>
      <c r="H70" s="6">
        <v>373</v>
      </c>
      <c r="I70" s="4" t="s">
        <v>776</v>
      </c>
      <c r="J70" s="4">
        <v>0.6</v>
      </c>
      <c r="K70" s="6"/>
      <c r="L70" s="6"/>
      <c r="M70" s="1" t="s">
        <v>133</v>
      </c>
      <c r="N70" s="1" t="s">
        <v>25</v>
      </c>
      <c r="O70" s="1" t="s">
        <v>780</v>
      </c>
      <c r="P70" s="1" t="s">
        <v>25</v>
      </c>
      <c r="Q70" s="1">
        <v>6</v>
      </c>
      <c r="R70" s="1">
        <v>6</v>
      </c>
      <c r="S70" s="1">
        <v>195</v>
      </c>
      <c r="T70" s="1">
        <v>260</v>
      </c>
      <c r="U70" s="1">
        <f>T70+100</f>
        <v>360</v>
      </c>
      <c r="V70" t="s">
        <v>767</v>
      </c>
      <c r="X70" t="s">
        <v>768</v>
      </c>
      <c r="Y70">
        <v>5</v>
      </c>
      <c r="Z70" s="5">
        <v>32.5</v>
      </c>
      <c r="AA70" s="5">
        <f>Z70/AB70</f>
        <v>0.3186243272124783</v>
      </c>
      <c r="AB70" s="5">
        <v>102.001</v>
      </c>
      <c r="AC70" s="2">
        <v>45987</v>
      </c>
      <c r="AD70" s="2">
        <v>45987</v>
      </c>
      <c r="AE70" s="3">
        <v>0.51894675925925926</v>
      </c>
      <c r="AF70" t="s">
        <v>188</v>
      </c>
      <c r="AG70" t="s">
        <v>134</v>
      </c>
      <c r="AH70" t="s">
        <v>135</v>
      </c>
      <c r="AI70" t="s">
        <v>136</v>
      </c>
      <c r="AJ70" t="s">
        <v>137</v>
      </c>
      <c r="AK70" t="s">
        <v>138</v>
      </c>
      <c r="AL70" t="s">
        <v>139</v>
      </c>
      <c r="AM70" t="s">
        <v>140</v>
      </c>
      <c r="AN70" t="s">
        <v>141</v>
      </c>
      <c r="AO70" t="s">
        <v>142</v>
      </c>
      <c r="AP70" t="s">
        <v>143</v>
      </c>
    </row>
    <row r="71" spans="1:42" x14ac:dyDescent="0.2">
      <c r="A71" s="1" t="s">
        <v>79</v>
      </c>
      <c r="B71" s="1" t="s">
        <v>80</v>
      </c>
      <c r="C71" s="1" t="s">
        <v>81</v>
      </c>
      <c r="D71" s="1" t="s">
        <v>82</v>
      </c>
      <c r="E71" s="6" t="s">
        <v>785</v>
      </c>
      <c r="F71" s="6" t="s">
        <v>785</v>
      </c>
      <c r="G71" s="6">
        <v>649</v>
      </c>
      <c r="H71" s="6">
        <v>292</v>
      </c>
      <c r="I71" s="4" t="s">
        <v>776</v>
      </c>
      <c r="J71" s="4">
        <v>7.8E-2</v>
      </c>
      <c r="K71" s="6"/>
      <c r="L71" s="6"/>
      <c r="M71" s="1" t="s">
        <v>24</v>
      </c>
      <c r="N71" s="1" t="s">
        <v>41</v>
      </c>
      <c r="O71" s="1" t="s">
        <v>780</v>
      </c>
      <c r="P71" s="1" t="s">
        <v>41</v>
      </c>
      <c r="Q71" s="1">
        <v>2</v>
      </c>
      <c r="R71" s="1">
        <v>2</v>
      </c>
      <c r="S71" s="1">
        <v>300</v>
      </c>
      <c r="T71" s="1">
        <v>414</v>
      </c>
      <c r="U71" s="1">
        <f>T71+100</f>
        <v>514</v>
      </c>
      <c r="V71" t="s">
        <v>767</v>
      </c>
      <c r="W71" t="s">
        <v>767</v>
      </c>
      <c r="X71" t="s">
        <v>768</v>
      </c>
      <c r="Y71">
        <v>4</v>
      </c>
      <c r="Z71" s="5">
        <v>32.5</v>
      </c>
      <c r="AA71" s="5">
        <f>Z71/AB71</f>
        <v>0.28504271255415814</v>
      </c>
      <c r="AB71" s="5">
        <v>114.018</v>
      </c>
      <c r="AC71" s="2">
        <v>46010</v>
      </c>
      <c r="AD71" s="2">
        <v>46010</v>
      </c>
      <c r="AE71" s="3">
        <v>0.6508680555555556</v>
      </c>
      <c r="AF71" t="s">
        <v>26</v>
      </c>
      <c r="AG71" t="s">
        <v>70</v>
      </c>
      <c r="AH71" t="s">
        <v>71</v>
      </c>
      <c r="AI71" t="s">
        <v>72</v>
      </c>
      <c r="AJ71" t="s">
        <v>73</v>
      </c>
      <c r="AK71" t="s">
        <v>74</v>
      </c>
      <c r="AL71" t="s">
        <v>75</v>
      </c>
      <c r="AM71" t="s">
        <v>76</v>
      </c>
      <c r="AN71" t="s">
        <v>77</v>
      </c>
      <c r="AO71" t="s">
        <v>78</v>
      </c>
    </row>
    <row r="72" spans="1:42" x14ac:dyDescent="0.2">
      <c r="A72" s="1" t="s">
        <v>113</v>
      </c>
      <c r="B72" s="1" t="s">
        <v>114</v>
      </c>
      <c r="C72" s="1" t="s">
        <v>115</v>
      </c>
      <c r="D72" s="1" t="s">
        <v>116</v>
      </c>
      <c r="E72" s="6" t="s">
        <v>785</v>
      </c>
      <c r="F72" s="6" t="s">
        <v>785</v>
      </c>
      <c r="G72" s="6">
        <v>641</v>
      </c>
      <c r="H72" s="6">
        <v>292</v>
      </c>
      <c r="I72" s="4" t="s">
        <v>776</v>
      </c>
      <c r="J72" s="4">
        <v>0.12</v>
      </c>
      <c r="K72" s="6"/>
      <c r="L72" s="6"/>
      <c r="M72" s="1" t="s">
        <v>24</v>
      </c>
      <c r="N72" s="1" t="s">
        <v>25</v>
      </c>
      <c r="O72" s="1" t="s">
        <v>779</v>
      </c>
      <c r="P72" s="1" t="s">
        <v>25</v>
      </c>
      <c r="Q72" s="1">
        <v>3</v>
      </c>
      <c r="R72" s="1">
        <v>3</v>
      </c>
      <c r="S72" s="1">
        <v>450</v>
      </c>
      <c r="T72" s="1">
        <v>626</v>
      </c>
      <c r="U72" s="1">
        <f>T72+100</f>
        <v>726</v>
      </c>
      <c r="V72" t="s">
        <v>767</v>
      </c>
      <c r="W72" t="s">
        <v>766</v>
      </c>
      <c r="X72" t="s">
        <v>768</v>
      </c>
      <c r="Y72">
        <v>4</v>
      </c>
      <c r="Z72" s="5">
        <v>32.5</v>
      </c>
      <c r="AA72" s="5">
        <f>Z72/AB72</f>
        <v>0.28504271255415814</v>
      </c>
      <c r="AB72" s="5">
        <v>114.018</v>
      </c>
      <c r="AC72" s="2">
        <v>46010</v>
      </c>
      <c r="AD72" s="2">
        <v>46010</v>
      </c>
      <c r="AE72" s="3">
        <v>0.61692129629629633</v>
      </c>
      <c r="AF72" t="s">
        <v>26</v>
      </c>
      <c r="AG72" t="s">
        <v>70</v>
      </c>
      <c r="AH72" t="s">
        <v>71</v>
      </c>
      <c r="AI72" t="s">
        <v>72</v>
      </c>
      <c r="AJ72" t="s">
        <v>73</v>
      </c>
      <c r="AK72" t="s">
        <v>74</v>
      </c>
      <c r="AL72" t="s">
        <v>75</v>
      </c>
      <c r="AM72" t="s">
        <v>76</v>
      </c>
      <c r="AN72" t="s">
        <v>77</v>
      </c>
      <c r="AO72" t="s">
        <v>78</v>
      </c>
    </row>
    <row r="73" spans="1:42" x14ac:dyDescent="0.2">
      <c r="A73" s="1" t="s">
        <v>109</v>
      </c>
      <c r="B73" s="1" t="s">
        <v>110</v>
      </c>
      <c r="C73" s="1" t="s">
        <v>111</v>
      </c>
      <c r="D73" s="1" t="s">
        <v>112</v>
      </c>
      <c r="E73" s="6" t="s">
        <v>785</v>
      </c>
      <c r="F73" s="6" t="s">
        <v>785</v>
      </c>
      <c r="G73" s="6">
        <v>649</v>
      </c>
      <c r="H73" s="6">
        <v>292</v>
      </c>
      <c r="I73" s="4" t="s">
        <v>776</v>
      </c>
      <c r="J73" s="4">
        <v>0.112</v>
      </c>
      <c r="K73" s="6"/>
      <c r="L73" s="6"/>
      <c r="M73" s="1" t="s">
        <v>24</v>
      </c>
      <c r="N73" s="1" t="s">
        <v>25</v>
      </c>
      <c r="O73" s="1" t="s">
        <v>779</v>
      </c>
      <c r="P73" s="1" t="s">
        <v>25</v>
      </c>
      <c r="Q73" s="1">
        <v>4</v>
      </c>
      <c r="R73" s="1">
        <v>4</v>
      </c>
      <c r="S73" s="1">
        <v>356</v>
      </c>
      <c r="T73" s="1">
        <v>546</v>
      </c>
      <c r="U73" s="1">
        <f>T73+100</f>
        <v>646</v>
      </c>
      <c r="V73" t="s">
        <v>766</v>
      </c>
      <c r="W73" t="s">
        <v>766</v>
      </c>
      <c r="X73" t="s">
        <v>768</v>
      </c>
      <c r="Y73">
        <v>4</v>
      </c>
      <c r="Z73" s="5">
        <v>32.5</v>
      </c>
      <c r="AA73" s="5">
        <f>Z73/AB73</f>
        <v>0.28504271255415814</v>
      </c>
      <c r="AB73" s="5">
        <v>114.018</v>
      </c>
      <c r="AC73" s="2">
        <v>46010</v>
      </c>
      <c r="AD73" s="2">
        <v>46010</v>
      </c>
      <c r="AE73" s="3">
        <v>0.62581018518518516</v>
      </c>
      <c r="AF73" t="s">
        <v>26</v>
      </c>
      <c r="AG73" t="s">
        <v>70</v>
      </c>
      <c r="AH73" t="s">
        <v>71</v>
      </c>
      <c r="AI73" t="s">
        <v>72</v>
      </c>
      <c r="AJ73" t="s">
        <v>73</v>
      </c>
      <c r="AK73" t="s">
        <v>74</v>
      </c>
      <c r="AL73" t="s">
        <v>75</v>
      </c>
      <c r="AM73" t="s">
        <v>76</v>
      </c>
      <c r="AN73" t="s">
        <v>77</v>
      </c>
      <c r="AO73" t="s">
        <v>78</v>
      </c>
    </row>
    <row r="74" spans="1:42" x14ac:dyDescent="0.2">
      <c r="A74" s="1" t="s">
        <v>117</v>
      </c>
      <c r="B74" s="1" t="s">
        <v>118</v>
      </c>
      <c r="C74" s="1" t="s">
        <v>119</v>
      </c>
      <c r="D74" s="1" t="s">
        <v>120</v>
      </c>
      <c r="E74" s="6" t="s">
        <v>785</v>
      </c>
      <c r="F74" s="6" t="s">
        <v>785</v>
      </c>
      <c r="G74" s="6">
        <v>649</v>
      </c>
      <c r="H74" s="6">
        <v>292</v>
      </c>
      <c r="I74" s="4" t="s">
        <v>776</v>
      </c>
      <c r="J74" s="4">
        <v>9.5000000000000001E-2</v>
      </c>
      <c r="K74" s="6"/>
      <c r="L74" s="6"/>
      <c r="M74" s="1" t="s">
        <v>24</v>
      </c>
      <c r="N74" s="1" t="s">
        <v>25</v>
      </c>
      <c r="O74" s="1" t="s">
        <v>779</v>
      </c>
      <c r="P74" s="1" t="s">
        <v>25</v>
      </c>
      <c r="Q74" s="1">
        <v>4</v>
      </c>
      <c r="R74" s="1">
        <v>4</v>
      </c>
      <c r="S74" s="1">
        <v>513</v>
      </c>
      <c r="T74" s="1">
        <v>556</v>
      </c>
      <c r="U74" s="1">
        <f>T74+100</f>
        <v>656</v>
      </c>
      <c r="V74" t="s">
        <v>766</v>
      </c>
      <c r="W74" t="s">
        <v>766</v>
      </c>
      <c r="X74" t="s">
        <v>768</v>
      </c>
      <c r="Y74">
        <v>4</v>
      </c>
      <c r="Z74" s="5">
        <v>32.5</v>
      </c>
      <c r="AA74" s="5">
        <f>Z74/AB74</f>
        <v>0.28504271255415814</v>
      </c>
      <c r="AB74" s="5">
        <v>114.018</v>
      </c>
      <c r="AC74" s="2">
        <v>46010</v>
      </c>
      <c r="AD74" s="2">
        <v>46010</v>
      </c>
      <c r="AE74" s="3">
        <v>0.62339120370370371</v>
      </c>
      <c r="AF74" t="s">
        <v>26</v>
      </c>
      <c r="AG74" t="s">
        <v>70</v>
      </c>
      <c r="AH74" t="s">
        <v>71</v>
      </c>
      <c r="AI74" t="s">
        <v>72</v>
      </c>
      <c r="AJ74" t="s">
        <v>73</v>
      </c>
      <c r="AK74" t="s">
        <v>74</v>
      </c>
      <c r="AL74" t="s">
        <v>75</v>
      </c>
      <c r="AM74" t="s">
        <v>76</v>
      </c>
      <c r="AN74" t="s">
        <v>77</v>
      </c>
      <c r="AO74" t="s">
        <v>78</v>
      </c>
    </row>
    <row r="75" spans="1:42" x14ac:dyDescent="0.2">
      <c r="A75" s="1" t="s">
        <v>121</v>
      </c>
      <c r="B75" s="1" t="s">
        <v>122</v>
      </c>
      <c r="C75" s="1" t="s">
        <v>123</v>
      </c>
      <c r="D75" s="1" t="s">
        <v>124</v>
      </c>
      <c r="E75" s="6" t="s">
        <v>785</v>
      </c>
      <c r="F75" s="6" t="s">
        <v>785</v>
      </c>
      <c r="G75" s="6">
        <v>649</v>
      </c>
      <c r="H75" s="6">
        <v>292</v>
      </c>
      <c r="I75" s="4" t="s">
        <v>776</v>
      </c>
      <c r="J75" s="4">
        <v>0.09</v>
      </c>
      <c r="K75" s="6"/>
      <c r="L75" s="6"/>
      <c r="M75" s="1" t="s">
        <v>24</v>
      </c>
      <c r="N75" s="1" t="s">
        <v>25</v>
      </c>
      <c r="O75" s="1" t="s">
        <v>779</v>
      </c>
      <c r="P75" s="1" t="s">
        <v>25</v>
      </c>
      <c r="Q75" s="1">
        <v>4</v>
      </c>
      <c r="R75" s="1">
        <v>4</v>
      </c>
      <c r="S75" s="1">
        <v>497</v>
      </c>
      <c r="T75" s="1">
        <v>554</v>
      </c>
      <c r="U75" s="1">
        <f>T75+100</f>
        <v>654</v>
      </c>
      <c r="V75" t="s">
        <v>766</v>
      </c>
      <c r="W75" t="s">
        <v>766</v>
      </c>
      <c r="X75" t="s">
        <v>768</v>
      </c>
      <c r="Y75">
        <v>4</v>
      </c>
      <c r="Z75" s="5">
        <v>32.5</v>
      </c>
      <c r="AA75" s="5">
        <f>Z75/AB75</f>
        <v>0.28504271255415814</v>
      </c>
      <c r="AB75" s="5">
        <v>114.018</v>
      </c>
      <c r="AC75" s="2">
        <v>46010</v>
      </c>
      <c r="AD75" s="2">
        <v>46010</v>
      </c>
      <c r="AE75" s="3">
        <v>0.62621527777777775</v>
      </c>
      <c r="AF75" t="s">
        <v>26</v>
      </c>
      <c r="AG75" t="s">
        <v>70</v>
      </c>
      <c r="AH75" t="s">
        <v>71</v>
      </c>
      <c r="AI75" t="s">
        <v>72</v>
      </c>
      <c r="AJ75" t="s">
        <v>73</v>
      </c>
      <c r="AK75" t="s">
        <v>74</v>
      </c>
      <c r="AL75" t="s">
        <v>75</v>
      </c>
      <c r="AM75" t="s">
        <v>76</v>
      </c>
      <c r="AN75" t="s">
        <v>77</v>
      </c>
      <c r="AO75" t="s">
        <v>78</v>
      </c>
    </row>
    <row r="76" spans="1:42" x14ac:dyDescent="0.2">
      <c r="A76" s="1" t="s">
        <v>125</v>
      </c>
      <c r="B76" s="1" t="s">
        <v>126</v>
      </c>
      <c r="C76" s="1" t="s">
        <v>127</v>
      </c>
      <c r="D76" s="1" t="s">
        <v>128</v>
      </c>
      <c r="E76" s="6" t="s">
        <v>786</v>
      </c>
      <c r="F76" s="6" t="s">
        <v>786</v>
      </c>
      <c r="G76" s="6">
        <v>649</v>
      </c>
      <c r="H76" s="6">
        <v>292</v>
      </c>
      <c r="I76" s="4" t="s">
        <v>776</v>
      </c>
      <c r="J76" s="4">
        <v>0.1</v>
      </c>
      <c r="K76" s="6"/>
      <c r="L76" s="6"/>
      <c r="M76" s="1" t="s">
        <v>24</v>
      </c>
      <c r="N76" s="1" t="s">
        <v>25</v>
      </c>
      <c r="O76" s="1" t="s">
        <v>779</v>
      </c>
      <c r="P76" s="1" t="s">
        <v>25</v>
      </c>
      <c r="Q76" s="1">
        <v>4</v>
      </c>
      <c r="R76" s="1">
        <v>4</v>
      </c>
      <c r="S76" s="1">
        <v>485</v>
      </c>
      <c r="T76" s="1">
        <v>516</v>
      </c>
      <c r="U76" s="1">
        <f>T76+100</f>
        <v>616</v>
      </c>
      <c r="V76" t="s">
        <v>766</v>
      </c>
      <c r="W76" t="s">
        <v>766</v>
      </c>
      <c r="X76" t="s">
        <v>768</v>
      </c>
      <c r="Y76">
        <v>4</v>
      </c>
      <c r="Z76" s="5">
        <v>32.5</v>
      </c>
      <c r="AA76" s="5">
        <f>Z76/AB76</f>
        <v>0.28504271255415814</v>
      </c>
      <c r="AB76" s="5">
        <v>114.018</v>
      </c>
      <c r="AC76" s="2">
        <v>46010</v>
      </c>
      <c r="AD76" s="2">
        <v>46010</v>
      </c>
      <c r="AE76" s="3">
        <v>0.62634259259259262</v>
      </c>
      <c r="AF76" t="s">
        <v>26</v>
      </c>
      <c r="AG76" t="s">
        <v>70</v>
      </c>
      <c r="AH76" t="s">
        <v>71</v>
      </c>
      <c r="AI76" t="s">
        <v>72</v>
      </c>
      <c r="AJ76" t="s">
        <v>73</v>
      </c>
      <c r="AK76" t="s">
        <v>74</v>
      </c>
      <c r="AL76" t="s">
        <v>75</v>
      </c>
      <c r="AM76" t="s">
        <v>76</v>
      </c>
      <c r="AN76" t="s">
        <v>77</v>
      </c>
      <c r="AO76" t="s">
        <v>78</v>
      </c>
    </row>
    <row r="77" spans="1:42" x14ac:dyDescent="0.2">
      <c r="A77" s="1" t="s">
        <v>66</v>
      </c>
      <c r="B77" s="1" t="s">
        <v>67</v>
      </c>
      <c r="C77" s="1" t="s">
        <v>68</v>
      </c>
      <c r="D77" s="1" t="s">
        <v>69</v>
      </c>
      <c r="E77" s="6" t="s">
        <v>785</v>
      </c>
      <c r="F77" s="6" t="s">
        <v>785</v>
      </c>
      <c r="G77" s="6">
        <v>649</v>
      </c>
      <c r="H77" s="6">
        <v>292</v>
      </c>
      <c r="I77" s="4" t="s">
        <v>776</v>
      </c>
      <c r="J77" s="4">
        <v>0.19600000000000001</v>
      </c>
      <c r="K77" s="6"/>
      <c r="L77" s="6"/>
      <c r="M77" s="1" t="s">
        <v>24</v>
      </c>
      <c r="N77" s="1" t="s">
        <v>25</v>
      </c>
      <c r="O77" s="1" t="s">
        <v>779</v>
      </c>
      <c r="P77" s="1" t="s">
        <v>25</v>
      </c>
      <c r="Q77" s="1">
        <v>4</v>
      </c>
      <c r="R77" s="1">
        <v>4</v>
      </c>
      <c r="S77" s="1">
        <v>500</v>
      </c>
      <c r="T77" s="1">
        <v>564</v>
      </c>
      <c r="U77" s="1">
        <f>T77+100</f>
        <v>664</v>
      </c>
      <c r="V77" t="s">
        <v>766</v>
      </c>
      <c r="W77" t="s">
        <v>766</v>
      </c>
      <c r="X77" t="s">
        <v>768</v>
      </c>
      <c r="Y77">
        <v>4</v>
      </c>
      <c r="Z77" s="5">
        <v>32.5</v>
      </c>
      <c r="AA77" s="5">
        <f>Z77/AB77</f>
        <v>0.28504271255415814</v>
      </c>
      <c r="AB77" s="5">
        <v>114.018</v>
      </c>
      <c r="AC77" s="2">
        <v>46010</v>
      </c>
      <c r="AD77" s="2">
        <v>46010</v>
      </c>
      <c r="AE77" s="3">
        <v>0.62663194444444448</v>
      </c>
      <c r="AF77" t="s">
        <v>26</v>
      </c>
      <c r="AG77" t="s">
        <v>70</v>
      </c>
      <c r="AH77" t="s">
        <v>71</v>
      </c>
      <c r="AI77" t="s">
        <v>72</v>
      </c>
      <c r="AJ77" t="s">
        <v>73</v>
      </c>
      <c r="AK77" t="s">
        <v>74</v>
      </c>
      <c r="AL77" t="s">
        <v>75</v>
      </c>
      <c r="AM77" t="s">
        <v>76</v>
      </c>
      <c r="AN77" t="s">
        <v>77</v>
      </c>
      <c r="AO77" t="s">
        <v>78</v>
      </c>
    </row>
    <row r="78" spans="1:42" x14ac:dyDescent="0.2">
      <c r="A78" s="1" t="s">
        <v>87</v>
      </c>
      <c r="B78" s="1" t="s">
        <v>88</v>
      </c>
      <c r="C78" s="1" t="s">
        <v>89</v>
      </c>
      <c r="D78" s="1" t="s">
        <v>90</v>
      </c>
      <c r="E78" s="6" t="s">
        <v>786</v>
      </c>
      <c r="F78" s="6" t="s">
        <v>786</v>
      </c>
      <c r="G78" s="6">
        <v>649</v>
      </c>
      <c r="H78" s="6">
        <v>292</v>
      </c>
      <c r="I78" s="4" t="s">
        <v>776</v>
      </c>
      <c r="J78" s="4">
        <v>0.24</v>
      </c>
      <c r="K78" s="6"/>
      <c r="L78" s="6"/>
      <c r="M78" s="1" t="s">
        <v>24</v>
      </c>
      <c r="N78" s="1" t="s">
        <v>25</v>
      </c>
      <c r="O78" s="1" t="s">
        <v>779</v>
      </c>
      <c r="P78" s="1" t="s">
        <v>25</v>
      </c>
      <c r="Q78" s="1">
        <v>4</v>
      </c>
      <c r="R78" s="1">
        <v>4</v>
      </c>
      <c r="S78" s="1">
        <v>580</v>
      </c>
      <c r="T78" s="1">
        <v>682</v>
      </c>
      <c r="U78" s="1">
        <f>T78+100</f>
        <v>782</v>
      </c>
      <c r="V78" t="s">
        <v>766</v>
      </c>
      <c r="X78" t="s">
        <v>768</v>
      </c>
      <c r="Y78">
        <v>4</v>
      </c>
      <c r="Z78" s="5">
        <v>32.5</v>
      </c>
      <c r="AA78" s="5">
        <f>Z78/AB78</f>
        <v>0.28504271255415814</v>
      </c>
      <c r="AB78" s="5">
        <v>114.018</v>
      </c>
      <c r="AC78" s="2">
        <v>46010</v>
      </c>
      <c r="AD78" s="2">
        <v>46010</v>
      </c>
      <c r="AE78" s="3">
        <v>0.62700231481481483</v>
      </c>
      <c r="AF78" t="s">
        <v>26</v>
      </c>
      <c r="AG78" t="s">
        <v>70</v>
      </c>
      <c r="AH78" t="s">
        <v>71</v>
      </c>
      <c r="AI78" t="s">
        <v>72</v>
      </c>
      <c r="AJ78" t="s">
        <v>73</v>
      </c>
      <c r="AK78" t="s">
        <v>74</v>
      </c>
      <c r="AL78" t="s">
        <v>75</v>
      </c>
      <c r="AM78" t="s">
        <v>76</v>
      </c>
      <c r="AN78" t="s">
        <v>77</v>
      </c>
      <c r="AO78" t="s">
        <v>78</v>
      </c>
    </row>
    <row r="79" spans="1:42" x14ac:dyDescent="0.2">
      <c r="A79" s="1" t="s">
        <v>83</v>
      </c>
      <c r="B79" s="1" t="s">
        <v>84</v>
      </c>
      <c r="C79" s="1" t="s">
        <v>85</v>
      </c>
      <c r="D79" s="1" t="s">
        <v>86</v>
      </c>
      <c r="E79" s="6" t="s">
        <v>785</v>
      </c>
      <c r="F79" s="6" t="s">
        <v>785</v>
      </c>
      <c r="G79" s="6">
        <v>649</v>
      </c>
      <c r="H79" s="6">
        <v>292</v>
      </c>
      <c r="I79" s="4" t="s">
        <v>776</v>
      </c>
      <c r="J79" s="4">
        <v>0.08</v>
      </c>
      <c r="K79" s="6"/>
      <c r="L79" s="6"/>
      <c r="M79" s="1" t="s">
        <v>24</v>
      </c>
      <c r="N79" s="1" t="s">
        <v>41</v>
      </c>
      <c r="O79" s="1" t="s">
        <v>780</v>
      </c>
      <c r="P79" s="1" t="s">
        <v>41</v>
      </c>
      <c r="Q79" s="1">
        <v>6</v>
      </c>
      <c r="R79" s="1">
        <v>6</v>
      </c>
      <c r="S79" s="1">
        <v>432</v>
      </c>
      <c r="T79" s="1">
        <v>507</v>
      </c>
      <c r="U79" s="1">
        <f>T79+100</f>
        <v>607</v>
      </c>
      <c r="V79" t="s">
        <v>766</v>
      </c>
      <c r="W79" t="s">
        <v>766</v>
      </c>
      <c r="X79" t="s">
        <v>768</v>
      </c>
      <c r="Y79">
        <v>4</v>
      </c>
      <c r="Z79" s="5">
        <v>32.5</v>
      </c>
      <c r="AA79" s="5">
        <f>Z79/AB79</f>
        <v>0.28504271255415814</v>
      </c>
      <c r="AB79" s="5">
        <v>114.018</v>
      </c>
      <c r="AC79" s="2">
        <v>46010</v>
      </c>
      <c r="AD79" s="2">
        <v>46010</v>
      </c>
      <c r="AE79" s="3">
        <v>0.63898148148148148</v>
      </c>
      <c r="AF79" t="s">
        <v>26</v>
      </c>
      <c r="AG79" t="s">
        <v>70</v>
      </c>
      <c r="AH79" t="s">
        <v>71</v>
      </c>
      <c r="AI79" t="s">
        <v>72</v>
      </c>
      <c r="AJ79" t="s">
        <v>73</v>
      </c>
      <c r="AK79" t="s">
        <v>74</v>
      </c>
      <c r="AL79" t="s">
        <v>75</v>
      </c>
      <c r="AM79" t="s">
        <v>76</v>
      </c>
      <c r="AN79" t="s">
        <v>77</v>
      </c>
      <c r="AO79" t="s">
        <v>78</v>
      </c>
    </row>
    <row r="80" spans="1:42" x14ac:dyDescent="0.2">
      <c r="A80" s="1" t="s">
        <v>152</v>
      </c>
      <c r="B80" s="1" t="s">
        <v>153</v>
      </c>
      <c r="C80" s="1" t="s">
        <v>154</v>
      </c>
      <c r="D80" s="1" t="s">
        <v>155</v>
      </c>
      <c r="E80" s="6" t="s">
        <v>785</v>
      </c>
      <c r="F80" s="6" t="s">
        <v>785</v>
      </c>
      <c r="G80" s="6">
        <v>649</v>
      </c>
      <c r="H80" s="6">
        <v>292</v>
      </c>
      <c r="I80" s="4" t="s">
        <v>776</v>
      </c>
      <c r="J80" s="4">
        <v>0.54</v>
      </c>
      <c r="K80" s="6"/>
      <c r="L80" s="6"/>
      <c r="M80" s="1" t="s">
        <v>24</v>
      </c>
      <c r="N80" s="1" t="s">
        <v>41</v>
      </c>
      <c r="O80" s="1" t="s">
        <v>780</v>
      </c>
      <c r="P80" s="1" t="s">
        <v>41</v>
      </c>
      <c r="Q80" s="1">
        <v>6</v>
      </c>
      <c r="R80" s="1">
        <v>6</v>
      </c>
      <c r="S80" s="1">
        <v>303</v>
      </c>
      <c r="T80" s="1">
        <v>492</v>
      </c>
      <c r="U80" s="1">
        <f>T80+100</f>
        <v>592</v>
      </c>
      <c r="V80" t="s">
        <v>766</v>
      </c>
      <c r="W80" t="s">
        <v>766</v>
      </c>
      <c r="X80" t="s">
        <v>768</v>
      </c>
      <c r="Y80">
        <v>4</v>
      </c>
      <c r="Z80" s="5">
        <v>32.5</v>
      </c>
      <c r="AA80" s="5">
        <f>Z80/AB80</f>
        <v>0.28504271255415814</v>
      </c>
      <c r="AB80" s="5">
        <v>114.018</v>
      </c>
      <c r="AC80" s="2">
        <v>46010</v>
      </c>
      <c r="AD80" s="2">
        <v>46010</v>
      </c>
      <c r="AE80" s="3">
        <v>0.63936342592592588</v>
      </c>
      <c r="AF80" t="s">
        <v>26</v>
      </c>
      <c r="AG80" t="s">
        <v>70</v>
      </c>
      <c r="AH80" t="s">
        <v>71</v>
      </c>
      <c r="AI80" t="s">
        <v>72</v>
      </c>
      <c r="AJ80" t="s">
        <v>73</v>
      </c>
      <c r="AK80" t="s">
        <v>74</v>
      </c>
      <c r="AL80" t="s">
        <v>75</v>
      </c>
      <c r="AM80" t="s">
        <v>76</v>
      </c>
      <c r="AN80" t="s">
        <v>77</v>
      </c>
      <c r="AO80" t="s">
        <v>78</v>
      </c>
    </row>
    <row r="81" spans="1:41" x14ac:dyDescent="0.2">
      <c r="A81" s="1" t="s">
        <v>233</v>
      </c>
      <c r="B81" s="1" t="s">
        <v>234</v>
      </c>
      <c r="C81" s="1" t="s">
        <v>235</v>
      </c>
      <c r="D81" s="1" t="s">
        <v>236</v>
      </c>
      <c r="E81" s="6" t="s">
        <v>785</v>
      </c>
      <c r="F81" s="6" t="s">
        <v>785</v>
      </c>
      <c r="G81" s="6">
        <v>1476</v>
      </c>
      <c r="H81" s="6">
        <v>393</v>
      </c>
      <c r="I81" s="4" t="s">
        <v>776</v>
      </c>
      <c r="J81" s="4">
        <v>0.124</v>
      </c>
      <c r="K81" s="6"/>
      <c r="L81" s="6"/>
      <c r="M81" s="1" t="s">
        <v>24</v>
      </c>
      <c r="N81" s="1" t="s">
        <v>41</v>
      </c>
      <c r="O81" s="1" t="s">
        <v>780</v>
      </c>
      <c r="P81" s="1" t="s">
        <v>41</v>
      </c>
      <c r="Q81" s="1">
        <v>2</v>
      </c>
      <c r="R81" s="1">
        <v>2</v>
      </c>
      <c r="S81" s="1">
        <v>477</v>
      </c>
      <c r="T81" s="1">
        <v>567</v>
      </c>
      <c r="U81" s="1">
        <f>T81+100</f>
        <v>667</v>
      </c>
      <c r="V81" t="s">
        <v>767</v>
      </c>
      <c r="W81" t="s">
        <v>767</v>
      </c>
      <c r="X81" t="s">
        <v>768</v>
      </c>
      <c r="Y81">
        <v>5</v>
      </c>
      <c r="Z81" s="5">
        <v>32.5</v>
      </c>
      <c r="AA81" s="5">
        <f>Z81/AB81</f>
        <v>0.29268468403562647</v>
      </c>
      <c r="AB81" s="5">
        <v>111.041</v>
      </c>
      <c r="AC81" s="2">
        <v>46010</v>
      </c>
      <c r="AD81" s="2">
        <v>46010</v>
      </c>
      <c r="AE81" s="3">
        <v>0.64946759259259257</v>
      </c>
      <c r="AF81" t="s">
        <v>188</v>
      </c>
      <c r="AG81" t="s">
        <v>70</v>
      </c>
      <c r="AH81" t="s">
        <v>71</v>
      </c>
      <c r="AI81" t="s">
        <v>72</v>
      </c>
      <c r="AJ81" t="s">
        <v>73</v>
      </c>
      <c r="AK81" t="s">
        <v>74</v>
      </c>
      <c r="AL81" t="s">
        <v>75</v>
      </c>
      <c r="AM81" t="s">
        <v>76</v>
      </c>
      <c r="AN81" t="s">
        <v>77</v>
      </c>
      <c r="AO81" t="s">
        <v>78</v>
      </c>
    </row>
    <row r="82" spans="1:41" x14ac:dyDescent="0.2">
      <c r="A82" s="1" t="s">
        <v>237</v>
      </c>
      <c r="B82" s="1" t="s">
        <v>238</v>
      </c>
      <c r="C82" s="1" t="s">
        <v>239</v>
      </c>
      <c r="D82" s="1" t="s">
        <v>240</v>
      </c>
      <c r="E82" s="6" t="s">
        <v>786</v>
      </c>
      <c r="F82" s="6" t="s">
        <v>786</v>
      </c>
      <c r="G82" s="6">
        <v>1476</v>
      </c>
      <c r="H82" s="6">
        <v>393</v>
      </c>
      <c r="I82" s="4" t="s">
        <v>776</v>
      </c>
      <c r="J82" s="4">
        <v>0.16</v>
      </c>
      <c r="K82" s="6"/>
      <c r="L82" s="6"/>
      <c r="M82" s="1" t="s">
        <v>24</v>
      </c>
      <c r="N82" s="1" t="s">
        <v>41</v>
      </c>
      <c r="O82" s="1" t="s">
        <v>780</v>
      </c>
      <c r="P82" s="1" t="s">
        <v>41</v>
      </c>
      <c r="Q82" s="1">
        <v>2</v>
      </c>
      <c r="R82" s="1">
        <v>2</v>
      </c>
      <c r="S82" s="1">
        <v>388</v>
      </c>
      <c r="T82" s="1">
        <v>420</v>
      </c>
      <c r="U82" s="1">
        <f>T82+100</f>
        <v>520</v>
      </c>
      <c r="V82" t="s">
        <v>767</v>
      </c>
      <c r="W82" t="s">
        <v>767</v>
      </c>
      <c r="X82" t="s">
        <v>768</v>
      </c>
      <c r="Y82">
        <v>5</v>
      </c>
      <c r="Z82" s="5">
        <v>32.5</v>
      </c>
      <c r="AA82" s="5">
        <f>Z82/AB82</f>
        <v>0.29268468403562647</v>
      </c>
      <c r="AB82" s="5">
        <v>111.041</v>
      </c>
      <c r="AC82" s="2">
        <v>46010</v>
      </c>
      <c r="AD82" s="2">
        <v>46010</v>
      </c>
      <c r="AE82" s="3">
        <v>0.64960648148148148</v>
      </c>
      <c r="AF82" t="s">
        <v>188</v>
      </c>
      <c r="AG82" t="s">
        <v>70</v>
      </c>
      <c r="AH82" t="s">
        <v>71</v>
      </c>
      <c r="AI82" t="s">
        <v>72</v>
      </c>
      <c r="AJ82" t="s">
        <v>73</v>
      </c>
      <c r="AK82" t="s">
        <v>74</v>
      </c>
      <c r="AL82" t="s">
        <v>75</v>
      </c>
      <c r="AM82" t="s">
        <v>76</v>
      </c>
      <c r="AN82" t="s">
        <v>77</v>
      </c>
      <c r="AO82" t="s">
        <v>78</v>
      </c>
    </row>
    <row r="83" spans="1:41" x14ac:dyDescent="0.2">
      <c r="A83" s="1" t="s">
        <v>241</v>
      </c>
      <c r="B83" s="1" t="s">
        <v>242</v>
      </c>
      <c r="C83" s="1" t="s">
        <v>243</v>
      </c>
      <c r="D83" s="1" t="s">
        <v>244</v>
      </c>
      <c r="E83" s="6" t="s">
        <v>785</v>
      </c>
      <c r="F83" s="6" t="s">
        <v>786</v>
      </c>
      <c r="G83" s="6">
        <v>1476</v>
      </c>
      <c r="H83" s="6">
        <v>393</v>
      </c>
      <c r="I83" s="4" t="s">
        <v>776</v>
      </c>
      <c r="J83" s="4">
        <v>0.13400000000000001</v>
      </c>
      <c r="K83" s="6"/>
      <c r="L83" s="6"/>
      <c r="M83" s="1" t="s">
        <v>24</v>
      </c>
      <c r="N83" s="1" t="s">
        <v>41</v>
      </c>
      <c r="O83" s="1" t="s">
        <v>780</v>
      </c>
      <c r="P83" s="1" t="s">
        <v>41</v>
      </c>
      <c r="Q83" s="1">
        <v>2</v>
      </c>
      <c r="R83" s="1">
        <v>2</v>
      </c>
      <c r="S83" s="1">
        <v>421</v>
      </c>
      <c r="T83" s="1">
        <v>451</v>
      </c>
      <c r="U83" s="1">
        <f>T83+100</f>
        <v>551</v>
      </c>
      <c r="V83" t="s">
        <v>767</v>
      </c>
      <c r="W83" t="s">
        <v>767</v>
      </c>
      <c r="X83" t="s">
        <v>768</v>
      </c>
      <c r="Y83">
        <v>5</v>
      </c>
      <c r="Z83" s="5">
        <v>32.5</v>
      </c>
      <c r="AA83" s="5">
        <f>Z83/AB83</f>
        <v>0.29268468403562647</v>
      </c>
      <c r="AB83" s="5">
        <v>111.041</v>
      </c>
      <c r="AC83" s="2">
        <v>46010</v>
      </c>
      <c r="AD83" s="2">
        <v>46010</v>
      </c>
      <c r="AE83" s="3">
        <v>0.64984953703703707</v>
      </c>
      <c r="AF83" t="s">
        <v>188</v>
      </c>
      <c r="AG83" t="s">
        <v>70</v>
      </c>
      <c r="AH83" t="s">
        <v>71</v>
      </c>
      <c r="AI83" t="s">
        <v>72</v>
      </c>
      <c r="AJ83" t="s">
        <v>73</v>
      </c>
      <c r="AK83" t="s">
        <v>74</v>
      </c>
      <c r="AL83" t="s">
        <v>75</v>
      </c>
      <c r="AM83" t="s">
        <v>76</v>
      </c>
      <c r="AN83" t="s">
        <v>77</v>
      </c>
      <c r="AO83" t="s">
        <v>78</v>
      </c>
    </row>
    <row r="84" spans="1:41" x14ac:dyDescent="0.2">
      <c r="A84" s="1" t="s">
        <v>245</v>
      </c>
      <c r="B84" s="1" t="s">
        <v>246</v>
      </c>
      <c r="C84" s="1" t="s">
        <v>247</v>
      </c>
      <c r="D84" s="1" t="s">
        <v>248</v>
      </c>
      <c r="E84" s="6" t="s">
        <v>785</v>
      </c>
      <c r="F84" s="6" t="s">
        <v>785</v>
      </c>
      <c r="G84" s="6">
        <v>1476</v>
      </c>
      <c r="H84" s="6">
        <v>393</v>
      </c>
      <c r="I84" s="4" t="s">
        <v>776</v>
      </c>
      <c r="J84" s="4">
        <v>0.14799999999999999</v>
      </c>
      <c r="K84" s="6"/>
      <c r="L84" s="6"/>
      <c r="M84" s="1" t="s">
        <v>24</v>
      </c>
      <c r="N84" s="1" t="s">
        <v>41</v>
      </c>
      <c r="O84" s="1" t="s">
        <v>780</v>
      </c>
      <c r="P84" s="1" t="s">
        <v>41</v>
      </c>
      <c r="Q84" s="1">
        <v>2</v>
      </c>
      <c r="R84" s="1">
        <v>2</v>
      </c>
      <c r="S84" s="1">
        <v>234</v>
      </c>
      <c r="T84" s="1">
        <v>433</v>
      </c>
      <c r="U84" s="1">
        <f>T84+100</f>
        <v>533</v>
      </c>
      <c r="V84" t="s">
        <v>767</v>
      </c>
      <c r="W84" t="s">
        <v>767</v>
      </c>
      <c r="X84" t="s">
        <v>768</v>
      </c>
      <c r="Y84">
        <v>5</v>
      </c>
      <c r="Z84" s="5">
        <v>32.5</v>
      </c>
      <c r="AA84" s="5">
        <f>Z84/AB84</f>
        <v>0.29268468403562647</v>
      </c>
      <c r="AB84" s="5">
        <v>111.041</v>
      </c>
      <c r="AC84" s="2">
        <v>46010</v>
      </c>
      <c r="AD84" s="2">
        <v>46010</v>
      </c>
      <c r="AE84" s="3">
        <v>0.64996527777777779</v>
      </c>
      <c r="AF84" t="s">
        <v>188</v>
      </c>
      <c r="AG84" t="s">
        <v>70</v>
      </c>
      <c r="AH84" t="s">
        <v>71</v>
      </c>
      <c r="AI84" t="s">
        <v>72</v>
      </c>
      <c r="AJ84" t="s">
        <v>73</v>
      </c>
      <c r="AK84" t="s">
        <v>74</v>
      </c>
      <c r="AL84" t="s">
        <v>75</v>
      </c>
      <c r="AM84" t="s">
        <v>76</v>
      </c>
      <c r="AN84" t="s">
        <v>77</v>
      </c>
      <c r="AO84" t="s">
        <v>78</v>
      </c>
    </row>
    <row r="85" spans="1:41" x14ac:dyDescent="0.2">
      <c r="A85" s="1" t="s">
        <v>249</v>
      </c>
      <c r="B85" s="1" t="s">
        <v>250</v>
      </c>
      <c r="C85" s="1" t="s">
        <v>251</v>
      </c>
      <c r="D85" s="1" t="s">
        <v>252</v>
      </c>
      <c r="E85" s="6" t="s">
        <v>785</v>
      </c>
      <c r="F85" s="6" t="s">
        <v>785</v>
      </c>
      <c r="G85" s="6">
        <v>1476</v>
      </c>
      <c r="H85" s="6">
        <v>393</v>
      </c>
      <c r="I85" s="4" t="s">
        <v>776</v>
      </c>
      <c r="J85" s="4">
        <v>0.17699999999999999</v>
      </c>
      <c r="K85" s="6"/>
      <c r="L85" s="6"/>
      <c r="M85" s="1" t="s">
        <v>24</v>
      </c>
      <c r="N85" s="1" t="s">
        <v>41</v>
      </c>
      <c r="O85" s="1" t="s">
        <v>780</v>
      </c>
      <c r="P85" s="1" t="s">
        <v>41</v>
      </c>
      <c r="Q85" s="1">
        <v>2</v>
      </c>
      <c r="R85" s="1">
        <v>2</v>
      </c>
      <c r="S85" s="1">
        <v>168</v>
      </c>
      <c r="T85" s="1">
        <v>484</v>
      </c>
      <c r="U85" s="1">
        <f>T85+100</f>
        <v>584</v>
      </c>
      <c r="V85" t="s">
        <v>767</v>
      </c>
      <c r="W85" t="s">
        <v>767</v>
      </c>
      <c r="X85" t="s">
        <v>768</v>
      </c>
      <c r="Y85">
        <v>5</v>
      </c>
      <c r="Z85" s="5">
        <v>32.5</v>
      </c>
      <c r="AA85" s="5">
        <f>Z85/AB85</f>
        <v>0.29268468403562647</v>
      </c>
      <c r="AB85" s="5">
        <v>111.041</v>
      </c>
      <c r="AC85" s="2">
        <v>46010</v>
      </c>
      <c r="AD85" s="2">
        <v>46010</v>
      </c>
      <c r="AE85" s="3">
        <v>0.65052083333333333</v>
      </c>
      <c r="AF85" t="s">
        <v>188</v>
      </c>
      <c r="AG85" t="s">
        <v>70</v>
      </c>
      <c r="AH85" t="s">
        <v>71</v>
      </c>
      <c r="AI85" t="s">
        <v>72</v>
      </c>
      <c r="AJ85" t="s">
        <v>73</v>
      </c>
      <c r="AK85" t="s">
        <v>74</v>
      </c>
      <c r="AL85" t="s">
        <v>75</v>
      </c>
      <c r="AM85" t="s">
        <v>76</v>
      </c>
      <c r="AN85" t="s">
        <v>77</v>
      </c>
      <c r="AO85" t="s">
        <v>78</v>
      </c>
    </row>
    <row r="86" spans="1:41" x14ac:dyDescent="0.2">
      <c r="A86" s="1" t="s">
        <v>281</v>
      </c>
      <c r="B86" s="1" t="s">
        <v>282</v>
      </c>
      <c r="C86" s="1" t="s">
        <v>283</v>
      </c>
      <c r="D86" s="1" t="s">
        <v>284</v>
      </c>
      <c r="E86" s="6" t="s">
        <v>785</v>
      </c>
      <c r="F86" s="6" t="s">
        <v>785</v>
      </c>
      <c r="G86" s="6">
        <v>1476</v>
      </c>
      <c r="H86" s="6">
        <v>393</v>
      </c>
      <c r="I86" s="4" t="s">
        <v>776</v>
      </c>
      <c r="J86" s="4">
        <v>0.16300000000000001</v>
      </c>
      <c r="K86" s="6"/>
      <c r="L86" s="6"/>
      <c r="M86" s="1" t="s">
        <v>24</v>
      </c>
      <c r="N86" s="1" t="s">
        <v>41</v>
      </c>
      <c r="O86" s="1" t="s">
        <v>780</v>
      </c>
      <c r="P86" s="1" t="s">
        <v>41</v>
      </c>
      <c r="Q86" s="1">
        <v>2</v>
      </c>
      <c r="R86" s="1">
        <v>2</v>
      </c>
      <c r="S86" s="1">
        <v>460</v>
      </c>
      <c r="T86" s="1">
        <v>548</v>
      </c>
      <c r="U86" s="1">
        <f>T86+100</f>
        <v>648</v>
      </c>
      <c r="V86" t="s">
        <v>767</v>
      </c>
      <c r="W86" t="s">
        <v>767</v>
      </c>
      <c r="X86" t="s">
        <v>768</v>
      </c>
      <c r="Y86">
        <v>5</v>
      </c>
      <c r="Z86" s="5">
        <v>32.5</v>
      </c>
      <c r="AA86" s="5">
        <f>Z86/AB86</f>
        <v>0.29268468403562647</v>
      </c>
      <c r="AB86" s="5">
        <v>111.041</v>
      </c>
      <c r="AC86" s="2">
        <v>46010</v>
      </c>
      <c r="AD86" s="2">
        <v>46010</v>
      </c>
      <c r="AE86" s="3">
        <v>0.65108796296296301</v>
      </c>
      <c r="AF86" t="s">
        <v>188</v>
      </c>
      <c r="AG86" t="s">
        <v>70</v>
      </c>
      <c r="AH86" t="s">
        <v>71</v>
      </c>
      <c r="AI86" t="s">
        <v>72</v>
      </c>
      <c r="AJ86" t="s">
        <v>73</v>
      </c>
      <c r="AK86" t="s">
        <v>74</v>
      </c>
      <c r="AL86" t="s">
        <v>75</v>
      </c>
      <c r="AM86" t="s">
        <v>76</v>
      </c>
      <c r="AN86" t="s">
        <v>77</v>
      </c>
      <c r="AO86" t="s">
        <v>78</v>
      </c>
    </row>
    <row r="87" spans="1:41" x14ac:dyDescent="0.2">
      <c r="A87" s="1" t="s">
        <v>285</v>
      </c>
      <c r="B87" s="1" t="s">
        <v>286</v>
      </c>
      <c r="C87" s="1" t="s">
        <v>287</v>
      </c>
      <c r="D87" s="1" t="s">
        <v>288</v>
      </c>
      <c r="E87" s="6" t="s">
        <v>785</v>
      </c>
      <c r="F87" s="6" t="s">
        <v>785</v>
      </c>
      <c r="G87" s="6">
        <v>1476</v>
      </c>
      <c r="H87" s="6">
        <v>393</v>
      </c>
      <c r="I87" s="4" t="s">
        <v>776</v>
      </c>
      <c r="J87" s="4">
        <v>0.27</v>
      </c>
      <c r="K87" s="6"/>
      <c r="L87" s="6"/>
      <c r="M87" s="1" t="s">
        <v>24</v>
      </c>
      <c r="N87" s="1" t="s">
        <v>41</v>
      </c>
      <c r="O87" s="1" t="s">
        <v>780</v>
      </c>
      <c r="P87" s="1" t="s">
        <v>41</v>
      </c>
      <c r="Q87" s="1">
        <v>2</v>
      </c>
      <c r="R87" s="1">
        <v>2</v>
      </c>
      <c r="S87" s="1">
        <v>544</v>
      </c>
      <c r="T87" s="1">
        <v>585</v>
      </c>
      <c r="U87" s="1">
        <f>T87+100</f>
        <v>685</v>
      </c>
      <c r="V87" t="s">
        <v>767</v>
      </c>
      <c r="W87" t="s">
        <v>767</v>
      </c>
      <c r="X87" t="s">
        <v>768</v>
      </c>
      <c r="Y87">
        <v>5</v>
      </c>
      <c r="Z87" s="5">
        <v>32.5</v>
      </c>
      <c r="AA87" s="5">
        <f>Z87/AB87</f>
        <v>0.29268468403562647</v>
      </c>
      <c r="AB87" s="5">
        <v>111.041</v>
      </c>
      <c r="AC87" s="2">
        <v>46010</v>
      </c>
      <c r="AD87" s="2">
        <v>46010</v>
      </c>
      <c r="AE87" s="3">
        <v>0.65248842592592593</v>
      </c>
      <c r="AF87" t="s">
        <v>188</v>
      </c>
      <c r="AG87" t="s">
        <v>70</v>
      </c>
      <c r="AH87" t="s">
        <v>71</v>
      </c>
      <c r="AI87" t="s">
        <v>72</v>
      </c>
      <c r="AJ87" t="s">
        <v>73</v>
      </c>
      <c r="AK87" t="s">
        <v>74</v>
      </c>
      <c r="AL87" t="s">
        <v>75</v>
      </c>
      <c r="AM87" t="s">
        <v>76</v>
      </c>
      <c r="AN87" t="s">
        <v>77</v>
      </c>
      <c r="AO87" t="s">
        <v>78</v>
      </c>
    </row>
    <row r="88" spans="1:41" x14ac:dyDescent="0.2">
      <c r="A88" s="1" t="s">
        <v>325</v>
      </c>
      <c r="B88" s="1" t="s">
        <v>326</v>
      </c>
      <c r="C88" s="1" t="s">
        <v>327</v>
      </c>
      <c r="D88" s="1" t="s">
        <v>328</v>
      </c>
      <c r="E88" s="6" t="s">
        <v>785</v>
      </c>
      <c r="F88" s="6" t="s">
        <v>786</v>
      </c>
      <c r="G88" s="6">
        <v>1476</v>
      </c>
      <c r="H88" s="6">
        <v>393</v>
      </c>
      <c r="I88" s="4" t="s">
        <v>776</v>
      </c>
      <c r="J88" s="4">
        <v>8.6999999999999994E-2</v>
      </c>
      <c r="K88" s="6"/>
      <c r="L88" s="6"/>
      <c r="M88" s="1" t="s">
        <v>24</v>
      </c>
      <c r="N88" s="1" t="s">
        <v>41</v>
      </c>
      <c r="O88" s="1" t="s">
        <v>780</v>
      </c>
      <c r="P88" s="1" t="s">
        <v>41</v>
      </c>
      <c r="Q88" s="1">
        <v>2</v>
      </c>
      <c r="R88" s="1">
        <v>2</v>
      </c>
      <c r="S88" s="1">
        <v>444</v>
      </c>
      <c r="T88" s="1">
        <v>472</v>
      </c>
      <c r="U88" s="1">
        <f>T88+100</f>
        <v>572</v>
      </c>
      <c r="V88" t="s">
        <v>767</v>
      </c>
      <c r="W88" t="s">
        <v>767</v>
      </c>
      <c r="X88" t="s">
        <v>768</v>
      </c>
      <c r="Y88">
        <v>5</v>
      </c>
      <c r="Z88" s="5">
        <v>32.5</v>
      </c>
      <c r="AA88" s="5">
        <f>Z88/AB88</f>
        <v>0.29268468403562647</v>
      </c>
      <c r="AB88" s="5">
        <v>111.041</v>
      </c>
      <c r="AC88" s="2">
        <v>46010</v>
      </c>
      <c r="AD88" s="2">
        <v>46010</v>
      </c>
      <c r="AE88" s="3">
        <v>0.65260416666666665</v>
      </c>
      <c r="AF88" t="s">
        <v>188</v>
      </c>
      <c r="AG88" t="s">
        <v>70</v>
      </c>
      <c r="AH88" t="s">
        <v>71</v>
      </c>
      <c r="AI88" t="s">
        <v>72</v>
      </c>
      <c r="AJ88" t="s">
        <v>73</v>
      </c>
      <c r="AK88" t="s">
        <v>74</v>
      </c>
      <c r="AL88" t="s">
        <v>75</v>
      </c>
      <c r="AM88" t="s">
        <v>76</v>
      </c>
      <c r="AN88" t="s">
        <v>77</v>
      </c>
      <c r="AO88" t="s">
        <v>78</v>
      </c>
    </row>
    <row r="89" spans="1:41" x14ac:dyDescent="0.2">
      <c r="A89" s="1" t="s">
        <v>329</v>
      </c>
      <c r="B89" s="1" t="s">
        <v>330</v>
      </c>
      <c r="C89" s="1" t="s">
        <v>331</v>
      </c>
      <c r="D89" s="1" t="s">
        <v>332</v>
      </c>
      <c r="E89" s="6" t="s">
        <v>785</v>
      </c>
      <c r="F89" s="6" t="s">
        <v>785</v>
      </c>
      <c r="G89" s="6">
        <v>1476</v>
      </c>
      <c r="H89" s="6">
        <v>393</v>
      </c>
      <c r="I89" s="4" t="s">
        <v>776</v>
      </c>
      <c r="J89" s="4">
        <v>1.9E-2</v>
      </c>
      <c r="K89" s="6"/>
      <c r="L89" s="6"/>
      <c r="M89" s="1" t="s">
        <v>24</v>
      </c>
      <c r="N89" s="1" t="s">
        <v>41</v>
      </c>
      <c r="O89" s="1" t="s">
        <v>780</v>
      </c>
      <c r="P89" s="1" t="s">
        <v>41</v>
      </c>
      <c r="Q89" s="1">
        <v>2</v>
      </c>
      <c r="R89" s="1">
        <v>2</v>
      </c>
      <c r="S89" s="1">
        <v>529</v>
      </c>
      <c r="T89" s="1">
        <v>566</v>
      </c>
      <c r="U89" s="1">
        <f>T89+100</f>
        <v>666</v>
      </c>
      <c r="V89" t="s">
        <v>767</v>
      </c>
      <c r="W89" t="s">
        <v>767</v>
      </c>
      <c r="X89" t="s">
        <v>768</v>
      </c>
      <c r="Y89">
        <v>5</v>
      </c>
      <c r="Z89" s="5">
        <v>32.5</v>
      </c>
      <c r="AA89" s="5">
        <f>Z89/AB89</f>
        <v>0.29268468403562647</v>
      </c>
      <c r="AB89" s="5">
        <v>111.041</v>
      </c>
      <c r="AC89" s="2">
        <v>46010</v>
      </c>
      <c r="AD89" s="2">
        <v>46010</v>
      </c>
      <c r="AE89" s="3">
        <v>0.65310185185185188</v>
      </c>
      <c r="AF89" t="s">
        <v>188</v>
      </c>
      <c r="AG89" t="s">
        <v>70</v>
      </c>
      <c r="AH89" t="s">
        <v>71</v>
      </c>
      <c r="AI89" t="s">
        <v>72</v>
      </c>
      <c r="AJ89" t="s">
        <v>73</v>
      </c>
      <c r="AK89" t="s">
        <v>74</v>
      </c>
      <c r="AL89" t="s">
        <v>75</v>
      </c>
      <c r="AM89" t="s">
        <v>76</v>
      </c>
      <c r="AN89" t="s">
        <v>77</v>
      </c>
      <c r="AO89" t="s">
        <v>78</v>
      </c>
    </row>
    <row r="90" spans="1:41" x14ac:dyDescent="0.2">
      <c r="A90" s="1" t="s">
        <v>333</v>
      </c>
      <c r="B90" s="1" t="s">
        <v>334</v>
      </c>
      <c r="C90" s="1" t="s">
        <v>335</v>
      </c>
      <c r="D90" s="1" t="s">
        <v>336</v>
      </c>
      <c r="E90" s="6" t="s">
        <v>785</v>
      </c>
      <c r="F90" s="6" t="s">
        <v>785</v>
      </c>
      <c r="G90" s="6">
        <v>1476</v>
      </c>
      <c r="H90" s="6">
        <v>393</v>
      </c>
      <c r="I90" s="4" t="s">
        <v>776</v>
      </c>
      <c r="J90" s="4">
        <v>6.7000000000000004E-2</v>
      </c>
      <c r="K90" s="6"/>
      <c r="L90" s="6"/>
      <c r="M90" s="1" t="s">
        <v>24</v>
      </c>
      <c r="N90" s="1" t="s">
        <v>41</v>
      </c>
      <c r="O90" s="1" t="s">
        <v>780</v>
      </c>
      <c r="P90" s="1" t="s">
        <v>41</v>
      </c>
      <c r="Q90" s="1">
        <v>2</v>
      </c>
      <c r="R90" s="1">
        <v>2</v>
      </c>
      <c r="S90" s="1">
        <v>681</v>
      </c>
      <c r="T90" s="1">
        <v>705</v>
      </c>
      <c r="U90" s="1">
        <f>T90+100</f>
        <v>805</v>
      </c>
      <c r="V90" t="s">
        <v>767</v>
      </c>
      <c r="W90" t="s">
        <v>767</v>
      </c>
      <c r="X90" t="s">
        <v>768</v>
      </c>
      <c r="Y90">
        <v>5</v>
      </c>
      <c r="Z90" s="5">
        <v>32.5</v>
      </c>
      <c r="AA90" s="5">
        <f>Z90/AB90</f>
        <v>0.29268468403562647</v>
      </c>
      <c r="AB90" s="5">
        <v>111.041</v>
      </c>
      <c r="AC90" s="2">
        <v>46010</v>
      </c>
      <c r="AD90" s="2">
        <v>46010</v>
      </c>
      <c r="AE90" s="3">
        <v>0.65408564814814818</v>
      </c>
      <c r="AF90" t="s">
        <v>188</v>
      </c>
      <c r="AG90" t="s">
        <v>70</v>
      </c>
      <c r="AH90" t="s">
        <v>71</v>
      </c>
      <c r="AI90" t="s">
        <v>72</v>
      </c>
      <c r="AJ90" t="s">
        <v>73</v>
      </c>
      <c r="AK90" t="s">
        <v>74</v>
      </c>
      <c r="AL90" t="s">
        <v>75</v>
      </c>
      <c r="AM90" t="s">
        <v>76</v>
      </c>
      <c r="AN90" t="s">
        <v>77</v>
      </c>
      <c r="AO90" t="s">
        <v>78</v>
      </c>
    </row>
    <row r="91" spans="1:41" x14ac:dyDescent="0.2">
      <c r="A91" s="1" t="s">
        <v>253</v>
      </c>
      <c r="B91" s="1" t="s">
        <v>254</v>
      </c>
      <c r="C91" s="1" t="s">
        <v>255</v>
      </c>
      <c r="D91" s="1" t="s">
        <v>256</v>
      </c>
      <c r="E91" s="6" t="s">
        <v>785</v>
      </c>
      <c r="F91" s="6" t="s">
        <v>785</v>
      </c>
      <c r="G91" s="6">
        <v>1484</v>
      </c>
      <c r="H91" s="6">
        <v>389</v>
      </c>
      <c r="I91" s="4" t="s">
        <v>776</v>
      </c>
      <c r="J91" s="4">
        <v>0.14099999999999999</v>
      </c>
      <c r="K91" s="6"/>
      <c r="L91" s="6"/>
      <c r="M91" s="1" t="s">
        <v>24</v>
      </c>
      <c r="N91" s="1" t="s">
        <v>25</v>
      </c>
      <c r="O91" s="1" t="s">
        <v>779</v>
      </c>
      <c r="P91" s="1" t="s">
        <v>25</v>
      </c>
      <c r="Q91" s="1">
        <v>3</v>
      </c>
      <c r="R91" s="1">
        <v>3</v>
      </c>
      <c r="S91" s="1">
        <v>112</v>
      </c>
      <c r="T91" s="1">
        <v>307</v>
      </c>
      <c r="U91" s="1">
        <f>T91+100</f>
        <v>407</v>
      </c>
      <c r="V91" t="s">
        <v>767</v>
      </c>
      <c r="W91" t="s">
        <v>767</v>
      </c>
      <c r="X91" t="s">
        <v>768</v>
      </c>
      <c r="Y91">
        <v>5</v>
      </c>
      <c r="Z91" s="5">
        <v>32.5</v>
      </c>
      <c r="AA91" s="5">
        <f>Z91/AB91</f>
        <v>0.29268468403562647</v>
      </c>
      <c r="AB91" s="5">
        <v>111.041</v>
      </c>
      <c r="AC91" s="2">
        <v>46010</v>
      </c>
      <c r="AD91" s="2">
        <v>46010</v>
      </c>
      <c r="AE91" s="3">
        <v>0.61370370370370375</v>
      </c>
      <c r="AF91" t="s">
        <v>188</v>
      </c>
      <c r="AG91" t="s">
        <v>70</v>
      </c>
      <c r="AH91" t="s">
        <v>71</v>
      </c>
      <c r="AI91" t="s">
        <v>72</v>
      </c>
      <c r="AJ91" t="s">
        <v>73</v>
      </c>
      <c r="AK91" t="s">
        <v>74</v>
      </c>
      <c r="AL91" t="s">
        <v>75</v>
      </c>
      <c r="AM91" t="s">
        <v>76</v>
      </c>
      <c r="AN91" t="s">
        <v>77</v>
      </c>
      <c r="AO91" t="s">
        <v>78</v>
      </c>
    </row>
    <row r="92" spans="1:41" x14ac:dyDescent="0.2">
      <c r="A92" s="1" t="s">
        <v>257</v>
      </c>
      <c r="B92" s="1" t="s">
        <v>258</v>
      </c>
      <c r="C92" s="1" t="s">
        <v>259</v>
      </c>
      <c r="D92" s="1" t="s">
        <v>260</v>
      </c>
      <c r="E92" s="6" t="s">
        <v>785</v>
      </c>
      <c r="F92" s="6" t="s">
        <v>785</v>
      </c>
      <c r="G92" s="6">
        <v>1484</v>
      </c>
      <c r="H92" s="6">
        <v>389</v>
      </c>
      <c r="I92" s="4" t="s">
        <v>776</v>
      </c>
      <c r="J92" s="4">
        <v>3.0000000000000001E-3</v>
      </c>
      <c r="K92" s="6"/>
      <c r="L92" s="6"/>
      <c r="M92" s="1" t="s">
        <v>24</v>
      </c>
      <c r="N92" s="1" t="s">
        <v>25</v>
      </c>
      <c r="O92" s="1" t="s">
        <v>779</v>
      </c>
      <c r="P92" s="1" t="s">
        <v>25</v>
      </c>
      <c r="Q92" s="1">
        <v>3</v>
      </c>
      <c r="R92" s="1">
        <v>3</v>
      </c>
      <c r="S92" s="1">
        <v>679</v>
      </c>
      <c r="T92" s="1">
        <v>777</v>
      </c>
      <c r="U92" s="1">
        <f>T92+100</f>
        <v>877</v>
      </c>
      <c r="V92" t="s">
        <v>767</v>
      </c>
      <c r="W92" t="s">
        <v>767</v>
      </c>
      <c r="X92" t="s">
        <v>768</v>
      </c>
      <c r="Y92">
        <v>5</v>
      </c>
      <c r="Z92" s="5">
        <v>32.5</v>
      </c>
      <c r="AA92" s="5">
        <f>Z92/AB92</f>
        <v>0.29268468403562647</v>
      </c>
      <c r="AB92" s="5">
        <v>111.041</v>
      </c>
      <c r="AC92" s="2">
        <v>46010</v>
      </c>
      <c r="AD92" s="2">
        <v>46010</v>
      </c>
      <c r="AE92" s="3">
        <v>0.61393518518518519</v>
      </c>
      <c r="AF92" t="s">
        <v>188</v>
      </c>
      <c r="AG92" t="s">
        <v>70</v>
      </c>
      <c r="AH92" t="s">
        <v>71</v>
      </c>
      <c r="AI92" t="s">
        <v>72</v>
      </c>
      <c r="AJ92" t="s">
        <v>73</v>
      </c>
      <c r="AK92" t="s">
        <v>74</v>
      </c>
      <c r="AL92" t="s">
        <v>75</v>
      </c>
      <c r="AM92" t="s">
        <v>76</v>
      </c>
      <c r="AN92" t="s">
        <v>77</v>
      </c>
      <c r="AO92" t="s">
        <v>78</v>
      </c>
    </row>
    <row r="93" spans="1:41" x14ac:dyDescent="0.2">
      <c r="A93" s="1" t="s">
        <v>261</v>
      </c>
      <c r="B93" s="1" t="s">
        <v>262</v>
      </c>
      <c r="C93" s="1" t="s">
        <v>263</v>
      </c>
      <c r="D93" s="1" t="s">
        <v>264</v>
      </c>
      <c r="E93" s="6" t="s">
        <v>785</v>
      </c>
      <c r="F93" s="6" t="s">
        <v>786</v>
      </c>
      <c r="G93" s="6">
        <v>1484</v>
      </c>
      <c r="H93" s="6">
        <v>389</v>
      </c>
      <c r="I93" s="4" t="s">
        <v>776</v>
      </c>
      <c r="J93" s="4">
        <v>0.106</v>
      </c>
      <c r="K93" s="6"/>
      <c r="L93" s="6"/>
      <c r="M93" s="1" t="s">
        <v>24</v>
      </c>
      <c r="N93" s="1" t="s">
        <v>25</v>
      </c>
      <c r="O93" s="1" t="s">
        <v>779</v>
      </c>
      <c r="P93" s="1" t="s">
        <v>25</v>
      </c>
      <c r="Q93" s="1">
        <v>3</v>
      </c>
      <c r="R93" s="1">
        <v>3</v>
      </c>
      <c r="S93" s="1">
        <v>440</v>
      </c>
      <c r="T93" s="1">
        <v>504</v>
      </c>
      <c r="U93" s="1">
        <f>T93+100</f>
        <v>604</v>
      </c>
      <c r="V93" t="s">
        <v>767</v>
      </c>
      <c r="W93" t="s">
        <v>767</v>
      </c>
      <c r="X93" t="s">
        <v>768</v>
      </c>
      <c r="Y93">
        <v>5</v>
      </c>
      <c r="Z93" s="5">
        <v>32.5</v>
      </c>
      <c r="AA93" s="5">
        <f>Z93/AB93</f>
        <v>0.29268468403562647</v>
      </c>
      <c r="AB93" s="5">
        <v>111.041</v>
      </c>
      <c r="AC93" s="2">
        <v>46010</v>
      </c>
      <c r="AD93" s="2">
        <v>46010</v>
      </c>
      <c r="AE93" s="3">
        <v>0.61435185185185182</v>
      </c>
      <c r="AF93" t="s">
        <v>188</v>
      </c>
      <c r="AG93" t="s">
        <v>70</v>
      </c>
      <c r="AH93" t="s">
        <v>71</v>
      </c>
      <c r="AI93" t="s">
        <v>72</v>
      </c>
      <c r="AJ93" t="s">
        <v>73</v>
      </c>
      <c r="AK93" t="s">
        <v>74</v>
      </c>
      <c r="AL93" t="s">
        <v>75</v>
      </c>
      <c r="AM93" t="s">
        <v>76</v>
      </c>
      <c r="AN93" t="s">
        <v>77</v>
      </c>
      <c r="AO93" t="s">
        <v>78</v>
      </c>
    </row>
    <row r="94" spans="1:41" x14ac:dyDescent="0.2">
      <c r="A94" s="1" t="s">
        <v>265</v>
      </c>
      <c r="B94" s="1" t="s">
        <v>266</v>
      </c>
      <c r="C94" s="1" t="s">
        <v>267</v>
      </c>
      <c r="D94" s="1" t="s">
        <v>268</v>
      </c>
      <c r="E94" s="6" t="s">
        <v>785</v>
      </c>
      <c r="F94" s="6" t="s">
        <v>785</v>
      </c>
      <c r="G94" s="6">
        <v>1484</v>
      </c>
      <c r="H94" s="6">
        <v>389</v>
      </c>
      <c r="I94" s="4" t="s">
        <v>776</v>
      </c>
      <c r="J94" s="4">
        <v>0.13200000000000001</v>
      </c>
      <c r="K94" s="6"/>
      <c r="L94" s="6"/>
      <c r="M94" s="1" t="s">
        <v>24</v>
      </c>
      <c r="N94" s="1" t="s">
        <v>25</v>
      </c>
      <c r="O94" s="1" t="s">
        <v>779</v>
      </c>
      <c r="P94" s="1" t="s">
        <v>25</v>
      </c>
      <c r="Q94" s="1">
        <v>3</v>
      </c>
      <c r="R94" s="1">
        <v>3</v>
      </c>
      <c r="S94" s="1">
        <v>0</v>
      </c>
      <c r="T94" s="1">
        <v>449</v>
      </c>
      <c r="U94" s="1">
        <f>T94+100</f>
        <v>549</v>
      </c>
      <c r="V94" t="s">
        <v>767</v>
      </c>
      <c r="W94" t="s">
        <v>767</v>
      </c>
      <c r="X94" t="s">
        <v>768</v>
      </c>
      <c r="Y94">
        <v>5</v>
      </c>
      <c r="Z94" s="5">
        <v>32.5</v>
      </c>
      <c r="AA94" s="5">
        <f>Z94/AB94</f>
        <v>0.29268468403562647</v>
      </c>
      <c r="AB94" s="5">
        <v>111.041</v>
      </c>
      <c r="AC94" s="2">
        <v>46010</v>
      </c>
      <c r="AD94" s="2">
        <v>46010</v>
      </c>
      <c r="AE94" s="3">
        <v>0.61619212962962966</v>
      </c>
      <c r="AF94" t="s">
        <v>188</v>
      </c>
      <c r="AG94" t="s">
        <v>70</v>
      </c>
      <c r="AH94" t="s">
        <v>71</v>
      </c>
      <c r="AI94" t="s">
        <v>72</v>
      </c>
      <c r="AJ94" t="s">
        <v>73</v>
      </c>
      <c r="AK94" t="s">
        <v>74</v>
      </c>
      <c r="AL94" t="s">
        <v>75</v>
      </c>
      <c r="AM94" t="s">
        <v>76</v>
      </c>
      <c r="AN94" t="s">
        <v>77</v>
      </c>
      <c r="AO94" t="s">
        <v>78</v>
      </c>
    </row>
    <row r="95" spans="1:41" x14ac:dyDescent="0.2">
      <c r="A95" s="1" t="s">
        <v>269</v>
      </c>
      <c r="B95" s="1" t="s">
        <v>270</v>
      </c>
      <c r="C95" s="1" t="s">
        <v>271</v>
      </c>
      <c r="D95" s="1" t="s">
        <v>272</v>
      </c>
      <c r="E95" s="6" t="s">
        <v>785</v>
      </c>
      <c r="F95" s="6" t="s">
        <v>785</v>
      </c>
      <c r="G95" s="6">
        <v>1476</v>
      </c>
      <c r="H95" s="6">
        <v>393</v>
      </c>
      <c r="I95" s="4" t="s">
        <v>776</v>
      </c>
      <c r="J95" s="4">
        <v>0.24</v>
      </c>
      <c r="K95" s="6"/>
      <c r="L95" s="6"/>
      <c r="M95" s="1" t="s">
        <v>24</v>
      </c>
      <c r="N95" s="1" t="s">
        <v>25</v>
      </c>
      <c r="O95" s="1" t="s">
        <v>779</v>
      </c>
      <c r="P95" s="1" t="s">
        <v>25</v>
      </c>
      <c r="Q95" s="1">
        <v>4</v>
      </c>
      <c r="R95" s="1">
        <v>4</v>
      </c>
      <c r="S95" s="1">
        <v>508</v>
      </c>
      <c r="T95" s="1">
        <v>540</v>
      </c>
      <c r="U95" s="1">
        <f>T95+100</f>
        <v>640</v>
      </c>
      <c r="V95" t="s">
        <v>766</v>
      </c>
      <c r="X95" t="s">
        <v>768</v>
      </c>
      <c r="Y95">
        <v>5</v>
      </c>
      <c r="Z95" s="5">
        <v>32.5</v>
      </c>
      <c r="AA95" s="5">
        <f>Z95/AB95</f>
        <v>0.29268468403562647</v>
      </c>
      <c r="AB95" s="5">
        <v>111.041</v>
      </c>
      <c r="AC95" s="2">
        <v>46010</v>
      </c>
      <c r="AD95" s="2">
        <v>46010</v>
      </c>
      <c r="AE95" s="3">
        <v>0.62450231481481477</v>
      </c>
      <c r="AF95" t="s">
        <v>188</v>
      </c>
      <c r="AG95" t="s">
        <v>70</v>
      </c>
      <c r="AH95" t="s">
        <v>71</v>
      </c>
      <c r="AI95" t="s">
        <v>72</v>
      </c>
      <c r="AJ95" t="s">
        <v>73</v>
      </c>
      <c r="AK95" t="s">
        <v>74</v>
      </c>
      <c r="AL95" t="s">
        <v>75</v>
      </c>
      <c r="AM95" t="s">
        <v>76</v>
      </c>
      <c r="AN95" t="s">
        <v>77</v>
      </c>
      <c r="AO95" t="s">
        <v>78</v>
      </c>
    </row>
    <row r="96" spans="1:41" x14ac:dyDescent="0.2">
      <c r="A96" s="1" t="s">
        <v>273</v>
      </c>
      <c r="B96" s="1" t="s">
        <v>274</v>
      </c>
      <c r="C96" s="1" t="s">
        <v>275</v>
      </c>
      <c r="D96" s="1" t="s">
        <v>276</v>
      </c>
      <c r="E96" s="6" t="s">
        <v>786</v>
      </c>
      <c r="F96" s="6" t="s">
        <v>786</v>
      </c>
      <c r="G96" s="6">
        <v>1476</v>
      </c>
      <c r="H96" s="6">
        <v>393</v>
      </c>
      <c r="I96" s="4" t="s">
        <v>776</v>
      </c>
      <c r="J96" s="4">
        <v>3.1E-2</v>
      </c>
      <c r="K96" s="6"/>
      <c r="L96" s="6"/>
      <c r="M96" s="1" t="s">
        <v>24</v>
      </c>
      <c r="N96" s="1" t="s">
        <v>25</v>
      </c>
      <c r="O96" s="1" t="s">
        <v>779</v>
      </c>
      <c r="P96" s="1" t="s">
        <v>25</v>
      </c>
      <c r="Q96" s="1">
        <v>4</v>
      </c>
      <c r="R96" s="1">
        <v>4</v>
      </c>
      <c r="S96" s="1">
        <v>144</v>
      </c>
      <c r="T96" s="1">
        <v>182</v>
      </c>
      <c r="U96" s="1">
        <f>T96+100</f>
        <v>282</v>
      </c>
      <c r="V96" t="s">
        <v>766</v>
      </c>
      <c r="W96" t="s">
        <v>767</v>
      </c>
      <c r="X96" t="s">
        <v>768</v>
      </c>
      <c r="Y96">
        <v>5</v>
      </c>
      <c r="Z96" s="5">
        <v>32.5</v>
      </c>
      <c r="AA96" s="5">
        <f>Z96/AB96</f>
        <v>0.29268468403562647</v>
      </c>
      <c r="AB96" s="5">
        <v>111.041</v>
      </c>
      <c r="AC96" s="2">
        <v>46010</v>
      </c>
      <c r="AD96" s="2">
        <v>46010</v>
      </c>
      <c r="AE96" s="3">
        <v>0.62494212962962958</v>
      </c>
      <c r="AF96" t="s">
        <v>188</v>
      </c>
      <c r="AG96" t="s">
        <v>70</v>
      </c>
      <c r="AH96" t="s">
        <v>71</v>
      </c>
      <c r="AI96" t="s">
        <v>72</v>
      </c>
      <c r="AJ96" t="s">
        <v>73</v>
      </c>
      <c r="AK96" t="s">
        <v>74</v>
      </c>
      <c r="AL96" t="s">
        <v>75</v>
      </c>
      <c r="AM96" t="s">
        <v>76</v>
      </c>
      <c r="AN96" t="s">
        <v>77</v>
      </c>
      <c r="AO96" t="s">
        <v>78</v>
      </c>
    </row>
    <row r="97" spans="1:42" x14ac:dyDescent="0.2">
      <c r="A97" s="1" t="s">
        <v>277</v>
      </c>
      <c r="B97" s="1" t="s">
        <v>278</v>
      </c>
      <c r="C97" s="1" t="s">
        <v>279</v>
      </c>
      <c r="D97" s="1" t="s">
        <v>280</v>
      </c>
      <c r="E97" s="6" t="s">
        <v>785</v>
      </c>
      <c r="F97" s="6" t="s">
        <v>785</v>
      </c>
      <c r="G97" s="6">
        <v>1476</v>
      </c>
      <c r="H97" s="6">
        <v>393</v>
      </c>
      <c r="I97" s="4" t="s">
        <v>776</v>
      </c>
      <c r="J97" s="4">
        <v>0.35599999999999998</v>
      </c>
      <c r="K97" s="6"/>
      <c r="L97" s="6"/>
      <c r="M97" s="1" t="s">
        <v>24</v>
      </c>
      <c r="N97" s="1" t="s">
        <v>25</v>
      </c>
      <c r="O97" s="1" t="s">
        <v>779</v>
      </c>
      <c r="P97" s="1" t="s">
        <v>25</v>
      </c>
      <c r="Q97" s="1">
        <v>4</v>
      </c>
      <c r="R97" s="1">
        <v>4</v>
      </c>
      <c r="S97" s="1">
        <v>481</v>
      </c>
      <c r="T97" s="1">
        <v>541</v>
      </c>
      <c r="U97" s="1">
        <f>T97+100</f>
        <v>641</v>
      </c>
      <c r="V97" t="s">
        <v>766</v>
      </c>
      <c r="W97" t="s">
        <v>767</v>
      </c>
      <c r="X97" t="s">
        <v>768</v>
      </c>
      <c r="Y97">
        <v>5</v>
      </c>
      <c r="Z97" s="5">
        <v>32.5</v>
      </c>
      <c r="AA97" s="5">
        <f>Z97/AB97</f>
        <v>0.29268468403562647</v>
      </c>
      <c r="AB97" s="5">
        <v>111.041</v>
      </c>
      <c r="AC97" s="2">
        <v>46010</v>
      </c>
      <c r="AD97" s="2">
        <v>46010</v>
      </c>
      <c r="AE97" s="3">
        <v>0.62510416666666668</v>
      </c>
      <c r="AF97" t="s">
        <v>188</v>
      </c>
      <c r="AG97" t="s">
        <v>70</v>
      </c>
      <c r="AH97" t="s">
        <v>71</v>
      </c>
      <c r="AI97" t="s">
        <v>72</v>
      </c>
      <c r="AJ97" t="s">
        <v>73</v>
      </c>
      <c r="AK97" t="s">
        <v>74</v>
      </c>
      <c r="AL97" t="s">
        <v>75</v>
      </c>
      <c r="AM97" t="s">
        <v>76</v>
      </c>
      <c r="AN97" t="s">
        <v>77</v>
      </c>
      <c r="AO97" t="s">
        <v>78</v>
      </c>
    </row>
    <row r="98" spans="1:42" x14ac:dyDescent="0.2">
      <c r="A98" s="1" t="s">
        <v>209</v>
      </c>
      <c r="B98" s="1" t="s">
        <v>210</v>
      </c>
      <c r="C98" s="1" t="s">
        <v>211</v>
      </c>
      <c r="D98" s="1" t="s">
        <v>212</v>
      </c>
      <c r="E98" s="6" t="s">
        <v>786</v>
      </c>
      <c r="F98" s="6" t="s">
        <v>786</v>
      </c>
      <c r="G98" s="6">
        <v>1476</v>
      </c>
      <c r="H98" s="6">
        <v>393</v>
      </c>
      <c r="I98" s="4" t="s">
        <v>776</v>
      </c>
      <c r="J98" s="4">
        <v>0.14799999999999999</v>
      </c>
      <c r="K98" s="6"/>
      <c r="L98" s="6"/>
      <c r="M98" s="1" t="s">
        <v>24</v>
      </c>
      <c r="N98" s="1" t="s">
        <v>25</v>
      </c>
      <c r="O98" s="1" t="s">
        <v>780</v>
      </c>
      <c r="P98" s="1" t="s">
        <v>25</v>
      </c>
      <c r="Q98" s="1">
        <v>5</v>
      </c>
      <c r="R98" s="1">
        <v>5</v>
      </c>
      <c r="S98" s="1">
        <v>252</v>
      </c>
      <c r="T98" s="1">
        <v>334</v>
      </c>
      <c r="U98" s="1">
        <f>T98+100</f>
        <v>434</v>
      </c>
      <c r="V98" t="s">
        <v>767</v>
      </c>
      <c r="X98" t="s">
        <v>768</v>
      </c>
      <c r="Y98">
        <v>5</v>
      </c>
      <c r="Z98" s="5">
        <v>32.5</v>
      </c>
      <c r="AA98" s="5">
        <f>Z98/AB98</f>
        <v>0.29268468403562647</v>
      </c>
      <c r="AB98" s="5">
        <v>111.041</v>
      </c>
      <c r="AC98" s="2">
        <v>46010</v>
      </c>
      <c r="AD98" s="2">
        <v>46010</v>
      </c>
      <c r="AE98" s="3">
        <v>0.63211805555555556</v>
      </c>
      <c r="AF98" t="s">
        <v>188</v>
      </c>
      <c r="AG98" t="s">
        <v>70</v>
      </c>
      <c r="AH98" t="s">
        <v>71</v>
      </c>
      <c r="AI98" t="s">
        <v>72</v>
      </c>
      <c r="AJ98" t="s">
        <v>73</v>
      </c>
      <c r="AK98" t="s">
        <v>74</v>
      </c>
      <c r="AL98" t="s">
        <v>75</v>
      </c>
      <c r="AM98" t="s">
        <v>76</v>
      </c>
      <c r="AN98" t="s">
        <v>77</v>
      </c>
      <c r="AO98" t="s">
        <v>78</v>
      </c>
    </row>
    <row r="99" spans="1:42" x14ac:dyDescent="0.2">
      <c r="A99" s="1" t="s">
        <v>213</v>
      </c>
      <c r="B99" s="1" t="s">
        <v>214</v>
      </c>
      <c r="C99" s="1" t="s">
        <v>215</v>
      </c>
      <c r="D99" s="1" t="s">
        <v>216</v>
      </c>
      <c r="E99" s="6" t="s">
        <v>786</v>
      </c>
      <c r="F99" s="6" t="s">
        <v>786</v>
      </c>
      <c r="G99" s="6">
        <v>1476</v>
      </c>
      <c r="H99" s="6">
        <v>393</v>
      </c>
      <c r="I99" s="4" t="s">
        <v>776</v>
      </c>
      <c r="J99" s="4"/>
      <c r="K99" s="6"/>
      <c r="L99" s="6"/>
      <c r="M99" s="1" t="s">
        <v>24</v>
      </c>
      <c r="N99" s="1" t="s">
        <v>25</v>
      </c>
      <c r="O99" s="1" t="s">
        <v>780</v>
      </c>
      <c r="P99" s="1" t="s">
        <v>25</v>
      </c>
      <c r="Q99" s="1">
        <v>5</v>
      </c>
      <c r="R99" s="1">
        <v>5</v>
      </c>
      <c r="S99" s="1">
        <v>648</v>
      </c>
      <c r="T99" s="1">
        <v>750</v>
      </c>
      <c r="U99" s="1">
        <f>T99+100</f>
        <v>850</v>
      </c>
      <c r="V99" t="s">
        <v>767</v>
      </c>
      <c r="X99" t="s">
        <v>768</v>
      </c>
      <c r="Y99">
        <v>5</v>
      </c>
      <c r="Z99" s="5">
        <v>32.5</v>
      </c>
      <c r="AA99" s="5">
        <f>Z99/AB99</f>
        <v>0.29268468403562647</v>
      </c>
      <c r="AB99" s="5">
        <v>111.041</v>
      </c>
      <c r="AC99" s="2">
        <v>46010</v>
      </c>
      <c r="AD99" s="2">
        <v>46010</v>
      </c>
      <c r="AE99" s="3">
        <v>0.63289351851851849</v>
      </c>
      <c r="AF99" t="s">
        <v>188</v>
      </c>
      <c r="AG99" t="s">
        <v>70</v>
      </c>
      <c r="AH99" t="s">
        <v>71</v>
      </c>
      <c r="AI99" t="s">
        <v>72</v>
      </c>
      <c r="AJ99" t="s">
        <v>73</v>
      </c>
      <c r="AK99" t="s">
        <v>74</v>
      </c>
      <c r="AL99" t="s">
        <v>75</v>
      </c>
      <c r="AM99" t="s">
        <v>76</v>
      </c>
      <c r="AN99" t="s">
        <v>77</v>
      </c>
      <c r="AO99" t="s">
        <v>78</v>
      </c>
    </row>
    <row r="100" spans="1:42" x14ac:dyDescent="0.2">
      <c r="A100" s="1" t="s">
        <v>217</v>
      </c>
      <c r="B100" s="1" t="s">
        <v>218</v>
      </c>
      <c r="C100" s="1" t="s">
        <v>219</v>
      </c>
      <c r="D100" s="1" t="s">
        <v>220</v>
      </c>
      <c r="E100" s="6" t="s">
        <v>786</v>
      </c>
      <c r="F100" s="6" t="s">
        <v>786</v>
      </c>
      <c r="G100" s="6">
        <v>1476</v>
      </c>
      <c r="H100" s="6">
        <v>393</v>
      </c>
      <c r="I100" s="4" t="s">
        <v>776</v>
      </c>
      <c r="J100" s="4">
        <v>9.6000000000000002E-2</v>
      </c>
      <c r="K100" s="6"/>
      <c r="L100" s="6"/>
      <c r="M100" s="1" t="s">
        <v>24</v>
      </c>
      <c r="N100" s="1" t="s">
        <v>25</v>
      </c>
      <c r="O100" s="1" t="s">
        <v>780</v>
      </c>
      <c r="P100" s="1" t="s">
        <v>25</v>
      </c>
      <c r="Q100" s="1">
        <v>5</v>
      </c>
      <c r="R100" s="1">
        <v>5</v>
      </c>
      <c r="S100" s="1">
        <v>121</v>
      </c>
      <c r="T100" s="1">
        <v>291</v>
      </c>
      <c r="U100" s="1">
        <f>T100+100</f>
        <v>391</v>
      </c>
      <c r="V100" t="s">
        <v>767</v>
      </c>
      <c r="W100" t="s">
        <v>767</v>
      </c>
      <c r="X100" t="s">
        <v>768</v>
      </c>
      <c r="Y100">
        <v>5</v>
      </c>
      <c r="Z100" s="5">
        <v>32.5</v>
      </c>
      <c r="AA100" s="5">
        <f>Z100/AB100</f>
        <v>0.29268468403562647</v>
      </c>
      <c r="AB100" s="5">
        <v>111.041</v>
      </c>
      <c r="AC100" s="2">
        <v>46010</v>
      </c>
      <c r="AD100" s="2">
        <v>46010</v>
      </c>
      <c r="AE100" s="3">
        <v>0.63185185185185189</v>
      </c>
      <c r="AF100" t="s">
        <v>188</v>
      </c>
      <c r="AG100" t="s">
        <v>70</v>
      </c>
      <c r="AH100" t="s">
        <v>71</v>
      </c>
      <c r="AI100" t="s">
        <v>72</v>
      </c>
      <c r="AJ100" t="s">
        <v>73</v>
      </c>
      <c r="AK100" t="s">
        <v>74</v>
      </c>
      <c r="AL100" t="s">
        <v>75</v>
      </c>
      <c r="AM100" t="s">
        <v>76</v>
      </c>
      <c r="AN100" t="s">
        <v>77</v>
      </c>
      <c r="AO100" t="s">
        <v>78</v>
      </c>
    </row>
    <row r="101" spans="1:42" x14ac:dyDescent="0.2">
      <c r="A101" s="1" t="s">
        <v>221</v>
      </c>
      <c r="B101" s="1" t="s">
        <v>222</v>
      </c>
      <c r="C101" s="1" t="s">
        <v>223</v>
      </c>
      <c r="D101" s="1" t="s">
        <v>224</v>
      </c>
      <c r="E101" s="6" t="s">
        <v>785</v>
      </c>
      <c r="F101" s="6" t="s">
        <v>785</v>
      </c>
      <c r="G101" s="6">
        <v>1476</v>
      </c>
      <c r="H101" s="6">
        <v>393</v>
      </c>
      <c r="I101" s="4" t="s">
        <v>776</v>
      </c>
      <c r="J101" s="4">
        <v>0.129</v>
      </c>
      <c r="K101" s="6"/>
      <c r="L101" s="6"/>
      <c r="M101" s="1" t="s">
        <v>24</v>
      </c>
      <c r="N101" s="1" t="s">
        <v>25</v>
      </c>
      <c r="O101" s="1" t="s">
        <v>780</v>
      </c>
      <c r="P101" s="1" t="s">
        <v>25</v>
      </c>
      <c r="Q101" s="1">
        <v>5</v>
      </c>
      <c r="R101" s="1">
        <v>5</v>
      </c>
      <c r="S101" s="1">
        <v>351</v>
      </c>
      <c r="T101" s="1">
        <v>476</v>
      </c>
      <c r="U101" s="1">
        <f>T101+100</f>
        <v>576</v>
      </c>
      <c r="V101" t="s">
        <v>767</v>
      </c>
      <c r="W101" t="s">
        <v>767</v>
      </c>
      <c r="X101" t="s">
        <v>768</v>
      </c>
      <c r="Y101">
        <v>5</v>
      </c>
      <c r="Z101" s="5">
        <v>32.5</v>
      </c>
      <c r="AA101" s="5">
        <f>Z101/AB101</f>
        <v>0.29268468403562647</v>
      </c>
      <c r="AB101" s="5">
        <v>111.041</v>
      </c>
      <c r="AC101" s="2">
        <v>46010</v>
      </c>
      <c r="AD101" s="2">
        <v>46010</v>
      </c>
      <c r="AE101" s="3">
        <v>0.63391203703703702</v>
      </c>
      <c r="AF101" t="s">
        <v>188</v>
      </c>
      <c r="AG101" t="s">
        <v>70</v>
      </c>
      <c r="AH101" t="s">
        <v>71</v>
      </c>
      <c r="AI101" t="s">
        <v>72</v>
      </c>
      <c r="AJ101" t="s">
        <v>73</v>
      </c>
      <c r="AK101" t="s">
        <v>74</v>
      </c>
      <c r="AL101" t="s">
        <v>75</v>
      </c>
      <c r="AM101" t="s">
        <v>76</v>
      </c>
      <c r="AN101" t="s">
        <v>77</v>
      </c>
      <c r="AO101" t="s">
        <v>78</v>
      </c>
    </row>
    <row r="102" spans="1:42" x14ac:dyDescent="0.2">
      <c r="A102" s="1" t="s">
        <v>225</v>
      </c>
      <c r="B102" s="1" t="s">
        <v>226</v>
      </c>
      <c r="C102" s="1" t="s">
        <v>227</v>
      </c>
      <c r="D102" s="1" t="s">
        <v>228</v>
      </c>
      <c r="E102" s="6" t="s">
        <v>785</v>
      </c>
      <c r="F102" s="6" t="s">
        <v>785</v>
      </c>
      <c r="G102" s="6">
        <v>1476</v>
      </c>
      <c r="H102" s="6">
        <v>393</v>
      </c>
      <c r="I102" s="4" t="s">
        <v>776</v>
      </c>
      <c r="J102" s="4">
        <v>2.5000000000000001E-2</v>
      </c>
      <c r="K102" s="6"/>
      <c r="L102" s="6"/>
      <c r="M102" s="1" t="s">
        <v>24</v>
      </c>
      <c r="N102" s="1" t="s">
        <v>25</v>
      </c>
      <c r="O102" s="1" t="s">
        <v>780</v>
      </c>
      <c r="P102" s="1" t="s">
        <v>25</v>
      </c>
      <c r="Q102" s="1">
        <v>5</v>
      </c>
      <c r="R102" s="1">
        <v>5</v>
      </c>
      <c r="S102" s="1">
        <v>278</v>
      </c>
      <c r="T102" s="1">
        <v>334</v>
      </c>
      <c r="U102" s="1">
        <f>T102+100</f>
        <v>434</v>
      </c>
      <c r="V102" t="s">
        <v>767</v>
      </c>
      <c r="W102" t="s">
        <v>767</v>
      </c>
      <c r="X102" t="s">
        <v>768</v>
      </c>
      <c r="Y102">
        <v>5</v>
      </c>
      <c r="Z102" s="5">
        <v>32.5</v>
      </c>
      <c r="AA102" s="5">
        <f>Z102/AB102</f>
        <v>0.29268468403562647</v>
      </c>
      <c r="AB102" s="5">
        <v>111.041</v>
      </c>
      <c r="AC102" s="2">
        <v>46010</v>
      </c>
      <c r="AD102" s="2">
        <v>46010</v>
      </c>
      <c r="AE102" s="3">
        <v>0.63460648148148147</v>
      </c>
      <c r="AF102" t="s">
        <v>188</v>
      </c>
      <c r="AG102" t="s">
        <v>70</v>
      </c>
      <c r="AH102" t="s">
        <v>71</v>
      </c>
      <c r="AI102" t="s">
        <v>72</v>
      </c>
      <c r="AJ102" t="s">
        <v>73</v>
      </c>
      <c r="AK102" t="s">
        <v>74</v>
      </c>
      <c r="AL102" t="s">
        <v>75</v>
      </c>
      <c r="AM102" t="s">
        <v>76</v>
      </c>
      <c r="AN102" t="s">
        <v>77</v>
      </c>
      <c r="AO102" t="s">
        <v>78</v>
      </c>
    </row>
    <row r="103" spans="1:42" ht="15" customHeight="1" x14ac:dyDescent="0.2">
      <c r="A103" s="1" t="s">
        <v>229</v>
      </c>
      <c r="B103" s="1" t="s">
        <v>230</v>
      </c>
      <c r="C103" s="1" t="s">
        <v>231</v>
      </c>
      <c r="D103" s="1" t="s">
        <v>232</v>
      </c>
      <c r="E103" s="6" t="s">
        <v>785</v>
      </c>
      <c r="F103" s="6" t="s">
        <v>785</v>
      </c>
      <c r="G103" s="6">
        <v>1476</v>
      </c>
      <c r="H103" s="6">
        <v>393</v>
      </c>
      <c r="I103" s="4" t="s">
        <v>776</v>
      </c>
      <c r="J103" s="4">
        <v>0.42399999999999999</v>
      </c>
      <c r="K103" s="6"/>
      <c r="L103" s="6"/>
      <c r="M103" s="1" t="s">
        <v>24</v>
      </c>
      <c r="N103" s="1" t="s">
        <v>25</v>
      </c>
      <c r="O103" s="1" t="s">
        <v>780</v>
      </c>
      <c r="P103" s="1" t="s">
        <v>25</v>
      </c>
      <c r="Q103" s="1">
        <v>5</v>
      </c>
      <c r="R103" s="1">
        <v>5</v>
      </c>
      <c r="S103" s="1">
        <v>321</v>
      </c>
      <c r="T103" s="1">
        <v>537</v>
      </c>
      <c r="U103" s="1">
        <f>T103+100</f>
        <v>637</v>
      </c>
      <c r="V103" t="s">
        <v>767</v>
      </c>
      <c r="W103" t="s">
        <v>767</v>
      </c>
      <c r="X103" t="s">
        <v>768</v>
      </c>
      <c r="Y103">
        <v>5</v>
      </c>
      <c r="Z103" s="5">
        <v>32.5</v>
      </c>
      <c r="AA103" s="5">
        <f>Z103/AB103</f>
        <v>0.29268468403562647</v>
      </c>
      <c r="AB103" s="5">
        <v>111.041</v>
      </c>
      <c r="AC103" s="2">
        <v>46010</v>
      </c>
      <c r="AD103" s="2">
        <v>46010</v>
      </c>
      <c r="AE103" s="3">
        <v>0.63479166666666664</v>
      </c>
      <c r="AF103" t="s">
        <v>188</v>
      </c>
      <c r="AG103" t="s">
        <v>70</v>
      </c>
      <c r="AH103" t="s">
        <v>71</v>
      </c>
      <c r="AI103" t="s">
        <v>72</v>
      </c>
      <c r="AJ103" t="s">
        <v>73</v>
      </c>
      <c r="AK103" t="s">
        <v>74</v>
      </c>
      <c r="AL103" t="s">
        <v>75</v>
      </c>
      <c r="AM103" t="s">
        <v>76</v>
      </c>
      <c r="AN103" t="s">
        <v>77</v>
      </c>
      <c r="AO103" t="s">
        <v>78</v>
      </c>
    </row>
    <row r="104" spans="1:42" x14ac:dyDescent="0.2">
      <c r="A104" s="1" t="s">
        <v>337</v>
      </c>
      <c r="B104" s="1" t="s">
        <v>338</v>
      </c>
      <c r="C104" s="1" t="s">
        <v>339</v>
      </c>
      <c r="D104" s="1" t="s">
        <v>340</v>
      </c>
      <c r="E104" s="6" t="s">
        <v>785</v>
      </c>
      <c r="F104" s="6" t="s">
        <v>786</v>
      </c>
      <c r="G104" s="6">
        <v>1476</v>
      </c>
      <c r="H104" s="6">
        <v>393</v>
      </c>
      <c r="I104" s="4" t="s">
        <v>776</v>
      </c>
      <c r="J104" s="4">
        <v>4.8000000000000001E-2</v>
      </c>
      <c r="K104" s="6"/>
      <c r="L104" s="6"/>
      <c r="M104" s="1" t="s">
        <v>24</v>
      </c>
      <c r="N104" s="1" t="s">
        <v>41</v>
      </c>
      <c r="O104" s="1" t="s">
        <v>780</v>
      </c>
      <c r="P104" s="1" t="s">
        <v>41</v>
      </c>
      <c r="Q104" s="1">
        <v>6</v>
      </c>
      <c r="R104" s="1">
        <v>6</v>
      </c>
      <c r="S104" s="1">
        <v>413</v>
      </c>
      <c r="T104" s="1">
        <v>441</v>
      </c>
      <c r="U104" s="1">
        <f>T104+100</f>
        <v>541</v>
      </c>
      <c r="V104" t="s">
        <v>766</v>
      </c>
      <c r="X104" t="s">
        <v>768</v>
      </c>
      <c r="Y104">
        <v>5</v>
      </c>
      <c r="Z104" s="5">
        <v>32.5</v>
      </c>
      <c r="AA104" s="5">
        <f>Z104/AB104</f>
        <v>0.29268468403562647</v>
      </c>
      <c r="AB104" s="5">
        <v>111.041</v>
      </c>
      <c r="AC104" s="2">
        <v>46010</v>
      </c>
      <c r="AD104" s="2">
        <v>46010</v>
      </c>
      <c r="AE104" s="3">
        <v>0.64126157407407403</v>
      </c>
      <c r="AF104" t="s">
        <v>188</v>
      </c>
      <c r="AG104" t="s">
        <v>70</v>
      </c>
      <c r="AH104" t="s">
        <v>71</v>
      </c>
      <c r="AI104" t="s">
        <v>72</v>
      </c>
      <c r="AJ104" t="s">
        <v>73</v>
      </c>
      <c r="AK104" t="s">
        <v>74</v>
      </c>
      <c r="AL104" t="s">
        <v>75</v>
      </c>
      <c r="AM104" t="s">
        <v>76</v>
      </c>
      <c r="AN104" t="s">
        <v>77</v>
      </c>
      <c r="AO104" t="s">
        <v>78</v>
      </c>
    </row>
    <row r="105" spans="1:42" x14ac:dyDescent="0.2">
      <c r="A105" s="1" t="s">
        <v>341</v>
      </c>
      <c r="B105" s="1" t="s">
        <v>342</v>
      </c>
      <c r="C105" s="1" t="s">
        <v>343</v>
      </c>
      <c r="D105" s="1" t="s">
        <v>344</v>
      </c>
      <c r="E105" s="6" t="s">
        <v>785</v>
      </c>
      <c r="F105" s="6" t="s">
        <v>785</v>
      </c>
      <c r="G105" s="6">
        <v>1476</v>
      </c>
      <c r="H105" s="6">
        <v>393</v>
      </c>
      <c r="I105" s="4" t="s">
        <v>776</v>
      </c>
      <c r="J105" s="4"/>
      <c r="K105" s="6"/>
      <c r="L105" s="6"/>
      <c r="M105" s="1" t="s">
        <v>24</v>
      </c>
      <c r="N105" s="1" t="s">
        <v>41</v>
      </c>
      <c r="O105" s="1" t="s">
        <v>780</v>
      </c>
      <c r="P105" s="1" t="s">
        <v>41</v>
      </c>
      <c r="Q105" s="1">
        <v>6</v>
      </c>
      <c r="R105" s="1">
        <v>6</v>
      </c>
      <c r="S105" s="1">
        <v>472</v>
      </c>
      <c r="T105" s="1">
        <v>507</v>
      </c>
      <c r="U105" s="1">
        <f>T105+100</f>
        <v>607</v>
      </c>
      <c r="V105" t="s">
        <v>766</v>
      </c>
      <c r="X105" t="s">
        <v>768</v>
      </c>
      <c r="Y105">
        <v>5</v>
      </c>
      <c r="Z105" s="5">
        <v>32.5</v>
      </c>
      <c r="AA105" s="5">
        <f>Z105/AB105</f>
        <v>0.29268468403562647</v>
      </c>
      <c r="AB105" s="5">
        <v>111.041</v>
      </c>
      <c r="AC105" s="2">
        <v>46010</v>
      </c>
      <c r="AD105" s="2">
        <v>46010</v>
      </c>
      <c r="AE105" s="3">
        <v>0.6420717592592593</v>
      </c>
      <c r="AF105" t="s">
        <v>188</v>
      </c>
      <c r="AG105" t="s">
        <v>70</v>
      </c>
      <c r="AH105" t="s">
        <v>71</v>
      </c>
      <c r="AI105" t="s">
        <v>72</v>
      </c>
      <c r="AJ105" t="s">
        <v>73</v>
      </c>
      <c r="AK105" t="s">
        <v>74</v>
      </c>
      <c r="AL105" t="s">
        <v>75</v>
      </c>
      <c r="AM105" t="s">
        <v>76</v>
      </c>
      <c r="AN105" t="s">
        <v>77</v>
      </c>
      <c r="AO105" t="s">
        <v>78</v>
      </c>
    </row>
    <row r="106" spans="1:42" x14ac:dyDescent="0.2">
      <c r="A106" s="1" t="s">
        <v>345</v>
      </c>
      <c r="B106" s="1" t="s">
        <v>346</v>
      </c>
      <c r="C106" s="1" t="s">
        <v>347</v>
      </c>
      <c r="D106" s="1" t="s">
        <v>348</v>
      </c>
      <c r="E106" s="6" t="s">
        <v>785</v>
      </c>
      <c r="F106" s="6" t="s">
        <v>785</v>
      </c>
      <c r="G106" s="6">
        <v>1476</v>
      </c>
      <c r="H106" s="6">
        <v>393</v>
      </c>
      <c r="I106" s="4" t="s">
        <v>776</v>
      </c>
      <c r="J106" s="4">
        <v>0.46700000000000003</v>
      </c>
      <c r="K106" s="6"/>
      <c r="L106" s="6"/>
      <c r="M106" s="1" t="s">
        <v>24</v>
      </c>
      <c r="N106" s="1" t="s">
        <v>41</v>
      </c>
      <c r="O106" s="1" t="s">
        <v>780</v>
      </c>
      <c r="P106" s="1" t="s">
        <v>41</v>
      </c>
      <c r="Q106" s="1">
        <v>6</v>
      </c>
      <c r="R106" s="1">
        <v>6</v>
      </c>
      <c r="S106" s="1">
        <v>368</v>
      </c>
      <c r="T106" s="1">
        <v>445</v>
      </c>
      <c r="U106" s="1">
        <f>T106+100</f>
        <v>545</v>
      </c>
      <c r="V106" t="s">
        <v>766</v>
      </c>
      <c r="W106" t="s">
        <v>767</v>
      </c>
      <c r="X106" t="s">
        <v>768</v>
      </c>
      <c r="Y106">
        <v>5</v>
      </c>
      <c r="Z106" s="5">
        <v>32.5</v>
      </c>
      <c r="AA106" s="5">
        <f>Z106/AB106</f>
        <v>0.29268468403562647</v>
      </c>
      <c r="AB106" s="5">
        <v>111.041</v>
      </c>
      <c r="AC106" s="2">
        <v>46010</v>
      </c>
      <c r="AD106" s="2">
        <v>46010</v>
      </c>
      <c r="AE106" s="3">
        <v>0.64310185185185187</v>
      </c>
      <c r="AF106" t="s">
        <v>188</v>
      </c>
      <c r="AG106" t="s">
        <v>70</v>
      </c>
      <c r="AH106" t="s">
        <v>71</v>
      </c>
      <c r="AI106" t="s">
        <v>72</v>
      </c>
      <c r="AJ106" t="s">
        <v>73</v>
      </c>
      <c r="AK106" t="s">
        <v>74</v>
      </c>
      <c r="AL106" t="s">
        <v>75</v>
      </c>
      <c r="AM106" t="s">
        <v>76</v>
      </c>
      <c r="AN106" t="s">
        <v>77</v>
      </c>
      <c r="AO106" t="s">
        <v>78</v>
      </c>
    </row>
    <row r="107" spans="1:42" x14ac:dyDescent="0.2">
      <c r="A107" s="1" t="s">
        <v>349</v>
      </c>
      <c r="B107" s="1" t="s">
        <v>350</v>
      </c>
      <c r="C107" s="1" t="s">
        <v>351</v>
      </c>
      <c r="D107" s="1" t="s">
        <v>352</v>
      </c>
      <c r="E107" s="6" t="s">
        <v>785</v>
      </c>
      <c r="F107" s="6" t="s">
        <v>785</v>
      </c>
      <c r="G107" s="6">
        <v>1476</v>
      </c>
      <c r="H107" s="6">
        <v>393</v>
      </c>
      <c r="I107" s="4" t="s">
        <v>776</v>
      </c>
      <c r="J107" s="4">
        <v>0.123</v>
      </c>
      <c r="K107" s="6"/>
      <c r="L107" s="6"/>
      <c r="M107" s="1" t="s">
        <v>24</v>
      </c>
      <c r="N107" s="1" t="s">
        <v>41</v>
      </c>
      <c r="O107" s="1" t="s">
        <v>780</v>
      </c>
      <c r="P107" s="1" t="s">
        <v>41</v>
      </c>
      <c r="Q107" s="1">
        <v>6</v>
      </c>
      <c r="R107" s="1">
        <v>6</v>
      </c>
      <c r="S107" s="1">
        <v>152</v>
      </c>
      <c r="T107" s="1">
        <v>172</v>
      </c>
      <c r="U107" s="1">
        <f>T107+100</f>
        <v>272</v>
      </c>
      <c r="V107" t="s">
        <v>766</v>
      </c>
      <c r="W107" t="s">
        <v>767</v>
      </c>
      <c r="X107" t="s">
        <v>768</v>
      </c>
      <c r="Y107">
        <v>5</v>
      </c>
      <c r="Z107" s="5">
        <v>32.5</v>
      </c>
      <c r="AA107" s="5">
        <f>Z107/AB107</f>
        <v>0.29268468403562647</v>
      </c>
      <c r="AB107" s="5">
        <v>111.041</v>
      </c>
      <c r="AC107" s="2">
        <v>46010</v>
      </c>
      <c r="AD107" s="2">
        <v>46010</v>
      </c>
      <c r="AE107" s="3">
        <v>0.64321759259259259</v>
      </c>
      <c r="AF107" t="s">
        <v>188</v>
      </c>
      <c r="AG107" t="s">
        <v>70</v>
      </c>
      <c r="AH107" t="s">
        <v>71</v>
      </c>
      <c r="AI107" t="s">
        <v>72</v>
      </c>
      <c r="AJ107" t="s">
        <v>73</v>
      </c>
      <c r="AK107" t="s">
        <v>74</v>
      </c>
      <c r="AL107" t="s">
        <v>75</v>
      </c>
      <c r="AM107" t="s">
        <v>76</v>
      </c>
      <c r="AN107" t="s">
        <v>77</v>
      </c>
      <c r="AO107" t="s">
        <v>78</v>
      </c>
    </row>
    <row r="108" spans="1:42" x14ac:dyDescent="0.2">
      <c r="A108" s="1" t="s">
        <v>353</v>
      </c>
      <c r="B108" s="1" t="s">
        <v>354</v>
      </c>
      <c r="C108" s="1" t="s">
        <v>355</v>
      </c>
      <c r="D108" s="1" t="s">
        <v>356</v>
      </c>
      <c r="E108" s="6" t="s">
        <v>785</v>
      </c>
      <c r="F108" s="6" t="s">
        <v>785</v>
      </c>
      <c r="G108" s="6">
        <v>1476</v>
      </c>
      <c r="H108" s="6">
        <v>393</v>
      </c>
      <c r="I108" s="4" t="s">
        <v>776</v>
      </c>
      <c r="J108" s="4">
        <v>0.14000000000000001</v>
      </c>
      <c r="K108" s="6"/>
      <c r="L108" s="6"/>
      <c r="M108" s="1" t="s">
        <v>24</v>
      </c>
      <c r="N108" s="1" t="s">
        <v>41</v>
      </c>
      <c r="O108" s="1" t="s">
        <v>780</v>
      </c>
      <c r="P108" s="1" t="s">
        <v>41</v>
      </c>
      <c r="Q108" s="1">
        <v>6</v>
      </c>
      <c r="R108" s="1">
        <v>6</v>
      </c>
      <c r="S108" s="1">
        <v>459</v>
      </c>
      <c r="T108" s="1">
        <v>496</v>
      </c>
      <c r="U108" s="1">
        <f>T108+100</f>
        <v>596</v>
      </c>
      <c r="V108" t="s">
        <v>766</v>
      </c>
      <c r="W108" t="s">
        <v>767</v>
      </c>
      <c r="X108" t="s">
        <v>768</v>
      </c>
      <c r="Y108">
        <v>5</v>
      </c>
      <c r="Z108" s="5">
        <v>32.5</v>
      </c>
      <c r="AA108" s="5">
        <f>Z108/AB108</f>
        <v>0.29268468403562647</v>
      </c>
      <c r="AB108" s="5">
        <v>111.041</v>
      </c>
      <c r="AC108" s="2">
        <v>46010</v>
      </c>
      <c r="AD108" s="2">
        <v>46010</v>
      </c>
      <c r="AE108" s="3">
        <v>0.64437500000000003</v>
      </c>
      <c r="AF108" t="s">
        <v>188</v>
      </c>
      <c r="AG108" t="s">
        <v>70</v>
      </c>
      <c r="AH108" t="s">
        <v>71</v>
      </c>
      <c r="AI108" t="s">
        <v>72</v>
      </c>
      <c r="AJ108" t="s">
        <v>73</v>
      </c>
      <c r="AK108" t="s">
        <v>74</v>
      </c>
      <c r="AL108" t="s">
        <v>75</v>
      </c>
      <c r="AM108" t="s">
        <v>76</v>
      </c>
      <c r="AN108" t="s">
        <v>77</v>
      </c>
      <c r="AO108" t="s">
        <v>78</v>
      </c>
    </row>
    <row r="109" spans="1:42" x14ac:dyDescent="0.2">
      <c r="A109" s="1" t="s">
        <v>357</v>
      </c>
      <c r="B109" s="1" t="s">
        <v>358</v>
      </c>
      <c r="C109" s="1" t="s">
        <v>359</v>
      </c>
      <c r="D109" s="1" t="s">
        <v>360</v>
      </c>
      <c r="E109" s="6" t="s">
        <v>785</v>
      </c>
      <c r="F109" s="6" t="s">
        <v>785</v>
      </c>
      <c r="G109" s="6">
        <v>1476</v>
      </c>
      <c r="H109" s="6">
        <v>393</v>
      </c>
      <c r="I109" s="4" t="s">
        <v>776</v>
      </c>
      <c r="J109" s="4">
        <v>0.182</v>
      </c>
      <c r="K109" s="6"/>
      <c r="L109" s="6"/>
      <c r="M109" s="1" t="s">
        <v>24</v>
      </c>
      <c r="N109" s="1" t="s">
        <v>41</v>
      </c>
      <c r="O109" s="1" t="s">
        <v>780</v>
      </c>
      <c r="P109" s="1" t="s">
        <v>41</v>
      </c>
      <c r="Q109" s="1">
        <v>6</v>
      </c>
      <c r="R109" s="1">
        <v>6</v>
      </c>
      <c r="S109" s="1">
        <v>72</v>
      </c>
      <c r="T109" s="1">
        <v>453</v>
      </c>
      <c r="U109" s="1">
        <f>T109+100</f>
        <v>553</v>
      </c>
      <c r="V109" t="s">
        <v>767</v>
      </c>
      <c r="X109" t="s">
        <v>768</v>
      </c>
      <c r="Y109">
        <v>5</v>
      </c>
      <c r="Z109" s="5">
        <v>32.5</v>
      </c>
      <c r="AA109" s="5">
        <f>Z109/AB109</f>
        <v>0.29268468403562647</v>
      </c>
      <c r="AB109" s="5">
        <v>111.041</v>
      </c>
      <c r="AC109" s="2">
        <v>46010</v>
      </c>
      <c r="AD109" s="2">
        <v>46010</v>
      </c>
      <c r="AE109" s="3">
        <v>0.64457175925925925</v>
      </c>
      <c r="AF109" t="s">
        <v>188</v>
      </c>
      <c r="AG109" t="s">
        <v>70</v>
      </c>
      <c r="AH109" t="s">
        <v>71</v>
      </c>
      <c r="AI109" t="s">
        <v>72</v>
      </c>
      <c r="AJ109" t="s">
        <v>73</v>
      </c>
      <c r="AK109" t="s">
        <v>74</v>
      </c>
      <c r="AL109" t="s">
        <v>75</v>
      </c>
      <c r="AM109" t="s">
        <v>76</v>
      </c>
      <c r="AN109" t="s">
        <v>77</v>
      </c>
      <c r="AO109" t="s">
        <v>78</v>
      </c>
    </row>
    <row r="110" spans="1:42" x14ac:dyDescent="0.2">
      <c r="A110" s="1" t="s">
        <v>361</v>
      </c>
      <c r="B110" s="1" t="s">
        <v>362</v>
      </c>
      <c r="C110" s="1" t="s">
        <v>363</v>
      </c>
      <c r="D110" s="1" t="s">
        <v>364</v>
      </c>
      <c r="E110" s="6" t="s">
        <v>785</v>
      </c>
      <c r="F110" s="6" t="s">
        <v>785</v>
      </c>
      <c r="G110" s="6">
        <v>1476</v>
      </c>
      <c r="H110" s="6">
        <v>393</v>
      </c>
      <c r="I110" s="4" t="s">
        <v>776</v>
      </c>
      <c r="J110" s="4">
        <v>0.115</v>
      </c>
      <c r="K110" s="6"/>
      <c r="L110" s="6"/>
      <c r="M110" s="1" t="s">
        <v>24</v>
      </c>
      <c r="N110" s="1" t="s">
        <v>41</v>
      </c>
      <c r="O110" s="1" t="s">
        <v>780</v>
      </c>
      <c r="P110" s="1" t="s">
        <v>41</v>
      </c>
      <c r="Q110" s="1">
        <v>6</v>
      </c>
      <c r="R110" s="1">
        <v>6</v>
      </c>
      <c r="S110" s="1">
        <v>122</v>
      </c>
      <c r="T110" s="1">
        <v>162</v>
      </c>
      <c r="U110" s="1">
        <f>T110+100</f>
        <v>262</v>
      </c>
      <c r="V110" t="s">
        <v>767</v>
      </c>
      <c r="X110" t="s">
        <v>768</v>
      </c>
      <c r="Y110">
        <v>5</v>
      </c>
      <c r="Z110" s="5">
        <v>32.5</v>
      </c>
      <c r="AA110" s="5">
        <f>Z110/AB110</f>
        <v>0.29268468403562647</v>
      </c>
      <c r="AB110" s="5">
        <v>111.041</v>
      </c>
      <c r="AC110" s="2">
        <v>46010</v>
      </c>
      <c r="AD110" s="2">
        <v>46010</v>
      </c>
      <c r="AE110" s="3">
        <v>0.64493055555555556</v>
      </c>
      <c r="AF110" t="s">
        <v>188</v>
      </c>
      <c r="AG110" t="s">
        <v>70</v>
      </c>
      <c r="AH110" t="s">
        <v>71</v>
      </c>
      <c r="AI110" t="s">
        <v>72</v>
      </c>
      <c r="AJ110" t="s">
        <v>73</v>
      </c>
      <c r="AK110" t="s">
        <v>74</v>
      </c>
      <c r="AL110" t="s">
        <v>75</v>
      </c>
      <c r="AM110" t="s">
        <v>76</v>
      </c>
      <c r="AN110" t="s">
        <v>77</v>
      </c>
      <c r="AO110" t="s">
        <v>78</v>
      </c>
    </row>
    <row r="111" spans="1:42" x14ac:dyDescent="0.2">
      <c r="A111" s="1" t="s">
        <v>37</v>
      </c>
      <c r="B111" s="1" t="s">
        <v>38</v>
      </c>
      <c r="C111" s="1" t="s">
        <v>39</v>
      </c>
      <c r="D111" s="1" t="s">
        <v>40</v>
      </c>
      <c r="E111" s="6" t="s">
        <v>785</v>
      </c>
      <c r="F111" s="6" t="s">
        <v>786</v>
      </c>
      <c r="G111" s="6">
        <v>698</v>
      </c>
      <c r="H111" s="6">
        <v>286</v>
      </c>
      <c r="I111" s="4" t="s">
        <v>776</v>
      </c>
      <c r="J111" s="4">
        <v>0.35199999999999998</v>
      </c>
      <c r="K111" s="6"/>
      <c r="L111" s="6"/>
      <c r="M111" s="1" t="s">
        <v>24</v>
      </c>
      <c r="N111" s="1" t="s">
        <v>41</v>
      </c>
      <c r="O111" s="1" t="s">
        <v>780</v>
      </c>
      <c r="P111" s="1" t="s">
        <v>41</v>
      </c>
      <c r="Q111" s="1">
        <v>2</v>
      </c>
      <c r="R111" s="1">
        <v>2</v>
      </c>
      <c r="S111" s="1">
        <v>553</v>
      </c>
      <c r="T111" s="1">
        <v>595</v>
      </c>
      <c r="U111" s="1">
        <f>T111+100</f>
        <v>695</v>
      </c>
      <c r="V111" t="s">
        <v>767</v>
      </c>
      <c r="W111" t="s">
        <v>766</v>
      </c>
      <c r="X111" t="s">
        <v>768</v>
      </c>
      <c r="Y111">
        <v>4</v>
      </c>
      <c r="Z111" s="5">
        <v>32.5</v>
      </c>
      <c r="AA111" s="5">
        <f>Z111/AB111</f>
        <v>0.26859504132231404</v>
      </c>
      <c r="AB111" s="5">
        <v>121</v>
      </c>
      <c r="AC111" s="2">
        <v>46031</v>
      </c>
      <c r="AD111" s="2">
        <v>46031</v>
      </c>
      <c r="AE111" s="3">
        <v>0.60855324074074069</v>
      </c>
      <c r="AF111" t="s">
        <v>26</v>
      </c>
      <c r="AG111" t="s">
        <v>27</v>
      </c>
      <c r="AH111" t="s">
        <v>28</v>
      </c>
      <c r="AI111" t="s">
        <v>29</v>
      </c>
      <c r="AJ111" t="s">
        <v>30</v>
      </c>
      <c r="AK111" t="s">
        <v>31</v>
      </c>
      <c r="AL111" t="s">
        <v>32</v>
      </c>
      <c r="AM111" t="s">
        <v>33</v>
      </c>
      <c r="AN111" t="s">
        <v>34</v>
      </c>
      <c r="AO111" t="s">
        <v>35</v>
      </c>
      <c r="AP111" t="s">
        <v>36</v>
      </c>
    </row>
    <row r="112" spans="1:42" x14ac:dyDescent="0.2">
      <c r="A112" s="1" t="s">
        <v>42</v>
      </c>
      <c r="B112" s="1" t="s">
        <v>43</v>
      </c>
      <c r="C112" s="1" t="s">
        <v>44</v>
      </c>
      <c r="D112" s="1" t="s">
        <v>45</v>
      </c>
      <c r="E112" s="6" t="s">
        <v>785</v>
      </c>
      <c r="F112" s="6" t="s">
        <v>785</v>
      </c>
      <c r="G112" s="6">
        <v>700</v>
      </c>
      <c r="H112" s="6">
        <v>290</v>
      </c>
      <c r="I112" s="4" t="s">
        <v>776</v>
      </c>
      <c r="J112" s="4">
        <v>0.19900000000000001</v>
      </c>
      <c r="K112" s="6"/>
      <c r="L112" s="6"/>
      <c r="M112" s="1" t="s">
        <v>24</v>
      </c>
      <c r="N112" s="1" t="s">
        <v>41</v>
      </c>
      <c r="O112" s="1" t="s">
        <v>780</v>
      </c>
      <c r="P112" s="1" t="s">
        <v>41</v>
      </c>
      <c r="Q112" s="1">
        <v>2</v>
      </c>
      <c r="R112" s="1">
        <v>2</v>
      </c>
      <c r="S112" s="1">
        <v>536</v>
      </c>
      <c r="T112" s="1">
        <v>600</v>
      </c>
      <c r="U112" s="1">
        <f>T112+100</f>
        <v>700</v>
      </c>
      <c r="V112" t="s">
        <v>767</v>
      </c>
      <c r="X112" t="s">
        <v>768</v>
      </c>
      <c r="Y112">
        <v>4</v>
      </c>
      <c r="Z112" s="5">
        <v>32.5</v>
      </c>
      <c r="AA112" s="5">
        <f>Z112/AB112</f>
        <v>0.26859504132231404</v>
      </c>
      <c r="AB112" s="5">
        <v>121</v>
      </c>
      <c r="AC112" s="2">
        <v>46031</v>
      </c>
      <c r="AD112" s="2">
        <v>46031</v>
      </c>
      <c r="AE112" s="3">
        <v>0.60793981481481485</v>
      </c>
      <c r="AF112" t="s">
        <v>26</v>
      </c>
      <c r="AG112" t="s">
        <v>27</v>
      </c>
      <c r="AH112" t="s">
        <v>28</v>
      </c>
      <c r="AI112" t="s">
        <v>29</v>
      </c>
      <c r="AJ112" t="s">
        <v>30</v>
      </c>
      <c r="AK112" t="s">
        <v>31</v>
      </c>
      <c r="AL112" t="s">
        <v>32</v>
      </c>
      <c r="AM112" t="s">
        <v>33</v>
      </c>
      <c r="AN112" t="s">
        <v>34</v>
      </c>
      <c r="AO112" t="s">
        <v>35</v>
      </c>
      <c r="AP112" t="s">
        <v>36</v>
      </c>
    </row>
    <row r="113" spans="1:42" x14ac:dyDescent="0.2">
      <c r="A113" s="1" t="s">
        <v>54</v>
      </c>
      <c r="B113" s="1" t="s">
        <v>55</v>
      </c>
      <c r="C113" s="1" t="s">
        <v>56</v>
      </c>
      <c r="D113" s="1" t="s">
        <v>57</v>
      </c>
      <c r="E113" s="6" t="s">
        <v>786</v>
      </c>
      <c r="F113" s="6" t="s">
        <v>786</v>
      </c>
      <c r="G113" s="6">
        <v>694</v>
      </c>
      <c r="H113" s="6">
        <v>289</v>
      </c>
      <c r="I113" s="4" t="s">
        <v>776</v>
      </c>
      <c r="J113" s="4">
        <v>0.36499999999999999</v>
      </c>
      <c r="K113" s="6"/>
      <c r="L113" s="6"/>
      <c r="M113" s="1" t="s">
        <v>24</v>
      </c>
      <c r="N113" s="1" t="s">
        <v>25</v>
      </c>
      <c r="O113" s="1" t="s">
        <v>779</v>
      </c>
      <c r="P113" s="1" t="s">
        <v>25</v>
      </c>
      <c r="Q113" s="1">
        <v>4</v>
      </c>
      <c r="R113" s="1">
        <v>4</v>
      </c>
      <c r="S113" s="1">
        <v>396</v>
      </c>
      <c r="T113" s="1">
        <v>502</v>
      </c>
      <c r="U113" s="1">
        <f>T113+100</f>
        <v>602</v>
      </c>
      <c r="V113" t="s">
        <v>766</v>
      </c>
      <c r="W113" t="s">
        <v>766</v>
      </c>
      <c r="X113" t="s">
        <v>768</v>
      </c>
      <c r="Y113">
        <v>4</v>
      </c>
      <c r="Z113" s="5">
        <v>32.5</v>
      </c>
      <c r="AA113" s="5">
        <f>Z113/AB113</f>
        <v>0.26859504132231404</v>
      </c>
      <c r="AB113" s="5">
        <v>121</v>
      </c>
      <c r="AC113" s="2">
        <v>46031</v>
      </c>
      <c r="AD113" s="2">
        <v>46031</v>
      </c>
      <c r="AE113" s="3">
        <v>0.59707175925925926</v>
      </c>
      <c r="AF113" t="s">
        <v>26</v>
      </c>
      <c r="AG113" t="s">
        <v>27</v>
      </c>
      <c r="AH113" t="s">
        <v>28</v>
      </c>
      <c r="AI113" t="s">
        <v>29</v>
      </c>
      <c r="AJ113" t="s">
        <v>30</v>
      </c>
      <c r="AK113" t="s">
        <v>31</v>
      </c>
      <c r="AL113" t="s">
        <v>32</v>
      </c>
      <c r="AM113" t="s">
        <v>33</v>
      </c>
      <c r="AN113" t="s">
        <v>34</v>
      </c>
      <c r="AO113" t="s">
        <v>35</v>
      </c>
      <c r="AP113" t="s">
        <v>36</v>
      </c>
    </row>
    <row r="114" spans="1:42" x14ac:dyDescent="0.2">
      <c r="A114" s="1" t="s">
        <v>58</v>
      </c>
      <c r="B114" s="1" t="s">
        <v>59</v>
      </c>
      <c r="C114" s="1" t="s">
        <v>60</v>
      </c>
      <c r="D114" s="1" t="s">
        <v>61</v>
      </c>
      <c r="E114" s="6" t="s">
        <v>785</v>
      </c>
      <c r="F114" s="6" t="s">
        <v>785</v>
      </c>
      <c r="G114" s="6">
        <v>694</v>
      </c>
      <c r="H114" s="6">
        <v>289</v>
      </c>
      <c r="I114" s="4" t="s">
        <v>776</v>
      </c>
      <c r="J114" s="4">
        <v>0.20699999999999999</v>
      </c>
      <c r="K114" s="6"/>
      <c r="L114" s="6"/>
      <c r="M114" s="1" t="s">
        <v>24</v>
      </c>
      <c r="N114" s="1" t="s">
        <v>25</v>
      </c>
      <c r="O114" s="1" t="s">
        <v>779</v>
      </c>
      <c r="P114" s="1" t="s">
        <v>25</v>
      </c>
      <c r="Q114" s="1">
        <v>4</v>
      </c>
      <c r="R114" s="1">
        <v>4</v>
      </c>
      <c r="S114" s="1">
        <v>461</v>
      </c>
      <c r="T114" s="1">
        <v>536</v>
      </c>
      <c r="U114" s="1">
        <f>T114+100</f>
        <v>636</v>
      </c>
      <c r="V114" t="s">
        <v>766</v>
      </c>
      <c r="W114" t="s">
        <v>766</v>
      </c>
      <c r="X114" t="s">
        <v>768</v>
      </c>
      <c r="Y114">
        <v>4</v>
      </c>
      <c r="Z114" s="5">
        <v>32.5</v>
      </c>
      <c r="AA114" s="5">
        <f>Z114/AB114</f>
        <v>0.26859504132231404</v>
      </c>
      <c r="AB114" s="5">
        <v>121</v>
      </c>
      <c r="AC114" s="2">
        <v>46031</v>
      </c>
      <c r="AD114" s="2">
        <v>46031</v>
      </c>
      <c r="AE114" s="3">
        <v>0.59719907407407402</v>
      </c>
      <c r="AF114" t="s">
        <v>26</v>
      </c>
      <c r="AG114" t="s">
        <v>27</v>
      </c>
      <c r="AH114" t="s">
        <v>28</v>
      </c>
      <c r="AI114" t="s">
        <v>29</v>
      </c>
      <c r="AJ114" t="s">
        <v>30</v>
      </c>
      <c r="AK114" t="s">
        <v>31</v>
      </c>
      <c r="AL114" t="s">
        <v>32</v>
      </c>
      <c r="AM114" t="s">
        <v>33</v>
      </c>
      <c r="AN114" t="s">
        <v>34</v>
      </c>
      <c r="AO114" t="s">
        <v>35</v>
      </c>
      <c r="AP114" t="s">
        <v>36</v>
      </c>
    </row>
    <row r="115" spans="1:42" x14ac:dyDescent="0.2">
      <c r="A115" s="1" t="s">
        <v>62</v>
      </c>
      <c r="B115" s="1" t="s">
        <v>63</v>
      </c>
      <c r="C115" s="1" t="s">
        <v>64</v>
      </c>
      <c r="D115" s="1" t="s">
        <v>65</v>
      </c>
      <c r="E115" s="6" t="s">
        <v>785</v>
      </c>
      <c r="F115" s="6" t="s">
        <v>785</v>
      </c>
      <c r="G115" s="6">
        <v>694</v>
      </c>
      <c r="H115" s="6">
        <v>289</v>
      </c>
      <c r="I115" s="4" t="s">
        <v>776</v>
      </c>
      <c r="J115" s="4">
        <v>0.6</v>
      </c>
      <c r="K115" s="6"/>
      <c r="L115" s="6"/>
      <c r="M115" s="1" t="s">
        <v>24</v>
      </c>
      <c r="N115" s="1" t="s">
        <v>25</v>
      </c>
      <c r="O115" s="1" t="s">
        <v>779</v>
      </c>
      <c r="P115" s="1" t="s">
        <v>25</v>
      </c>
      <c r="Q115" s="1">
        <v>4</v>
      </c>
      <c r="R115" s="1">
        <v>4</v>
      </c>
      <c r="S115" s="1">
        <v>486</v>
      </c>
      <c r="T115" s="1">
        <v>557</v>
      </c>
      <c r="U115" s="1">
        <f>T115+100</f>
        <v>657</v>
      </c>
      <c r="V115" t="s">
        <v>766</v>
      </c>
      <c r="W115" t="s">
        <v>766</v>
      </c>
      <c r="X115" t="s">
        <v>768</v>
      </c>
      <c r="Y115">
        <v>4</v>
      </c>
      <c r="Z115" s="5">
        <v>32.5</v>
      </c>
      <c r="AA115" s="5">
        <f>Z115/AB115</f>
        <v>0.26859504132231404</v>
      </c>
      <c r="AB115" s="5">
        <v>121</v>
      </c>
      <c r="AC115" s="2">
        <v>46031</v>
      </c>
      <c r="AD115" s="2">
        <v>46031</v>
      </c>
      <c r="AE115" s="3">
        <v>0.59733796296296293</v>
      </c>
      <c r="AF115" t="s">
        <v>26</v>
      </c>
      <c r="AG115" t="s">
        <v>27</v>
      </c>
      <c r="AH115" t="s">
        <v>28</v>
      </c>
      <c r="AI115" t="s">
        <v>29</v>
      </c>
      <c r="AJ115" t="s">
        <v>30</v>
      </c>
      <c r="AK115" t="s">
        <v>31</v>
      </c>
      <c r="AL115" t="s">
        <v>32</v>
      </c>
      <c r="AM115" t="s">
        <v>33</v>
      </c>
      <c r="AN115" t="s">
        <v>34</v>
      </c>
      <c r="AO115" t="s">
        <v>35</v>
      </c>
      <c r="AP115" t="s">
        <v>36</v>
      </c>
    </row>
    <row r="116" spans="1:42" x14ac:dyDescent="0.2">
      <c r="A116" s="1" t="s">
        <v>46</v>
      </c>
      <c r="B116" s="1" t="s">
        <v>47</v>
      </c>
      <c r="C116" s="1" t="s">
        <v>48</v>
      </c>
      <c r="D116" s="1" t="s">
        <v>49</v>
      </c>
      <c r="E116" s="6" t="s">
        <v>786</v>
      </c>
      <c r="F116" s="6" t="s">
        <v>786</v>
      </c>
      <c r="G116" s="6">
        <v>694</v>
      </c>
      <c r="H116" s="6">
        <v>289</v>
      </c>
      <c r="I116" s="4" t="s">
        <v>776</v>
      </c>
      <c r="J116" s="4">
        <v>0.17</v>
      </c>
      <c r="K116" s="6"/>
      <c r="L116" s="6"/>
      <c r="M116" s="1" t="s">
        <v>24</v>
      </c>
      <c r="N116" s="1" t="s">
        <v>25</v>
      </c>
      <c r="O116" s="1" t="s">
        <v>779</v>
      </c>
      <c r="P116" s="1" t="s">
        <v>25</v>
      </c>
      <c r="Q116" s="1">
        <v>4</v>
      </c>
      <c r="R116" s="1">
        <v>4</v>
      </c>
      <c r="S116" s="1">
        <v>432</v>
      </c>
      <c r="T116" s="1">
        <v>475</v>
      </c>
      <c r="U116" s="1">
        <f>T116+100</f>
        <v>575</v>
      </c>
      <c r="V116" t="s">
        <v>766</v>
      </c>
      <c r="W116" t="s">
        <v>766</v>
      </c>
      <c r="X116" t="s">
        <v>768</v>
      </c>
      <c r="Y116">
        <v>4</v>
      </c>
      <c r="Z116" s="5">
        <v>32.5</v>
      </c>
      <c r="AA116" s="5">
        <f>Z116/AB116</f>
        <v>0.26859504132231404</v>
      </c>
      <c r="AB116" s="5">
        <v>121</v>
      </c>
      <c r="AC116" s="2">
        <v>46031</v>
      </c>
      <c r="AD116" s="2">
        <v>46031</v>
      </c>
      <c r="AE116" s="3">
        <v>0.59655092592592596</v>
      </c>
      <c r="AF116" t="s">
        <v>26</v>
      </c>
      <c r="AG116" t="s">
        <v>27</v>
      </c>
      <c r="AH116" t="s">
        <v>28</v>
      </c>
      <c r="AI116" t="s">
        <v>29</v>
      </c>
      <c r="AJ116" t="s">
        <v>30</v>
      </c>
      <c r="AK116" t="s">
        <v>31</v>
      </c>
      <c r="AL116" t="s">
        <v>32</v>
      </c>
      <c r="AM116" t="s">
        <v>33</v>
      </c>
      <c r="AN116" t="s">
        <v>34</v>
      </c>
      <c r="AO116" t="s">
        <v>35</v>
      </c>
      <c r="AP116" t="s">
        <v>36</v>
      </c>
    </row>
    <row r="117" spans="1:42" x14ac:dyDescent="0.2">
      <c r="A117" s="1" t="s">
        <v>50</v>
      </c>
      <c r="B117" s="1" t="s">
        <v>51</v>
      </c>
      <c r="C117" s="1" t="s">
        <v>52</v>
      </c>
      <c r="D117" s="1" t="s">
        <v>53</v>
      </c>
      <c r="E117" s="6" t="s">
        <v>785</v>
      </c>
      <c r="F117" s="6" t="s">
        <v>785</v>
      </c>
      <c r="G117" s="6">
        <v>694</v>
      </c>
      <c r="H117" s="6">
        <v>289</v>
      </c>
      <c r="I117" s="4" t="s">
        <v>776</v>
      </c>
      <c r="J117" s="4">
        <v>0.17</v>
      </c>
      <c r="K117" s="6"/>
      <c r="L117" s="6"/>
      <c r="M117" s="1" t="s">
        <v>24</v>
      </c>
      <c r="N117" s="1" t="s">
        <v>25</v>
      </c>
      <c r="O117" s="1" t="s">
        <v>779</v>
      </c>
      <c r="P117" s="1" t="s">
        <v>25</v>
      </c>
      <c r="Q117" s="1">
        <v>4</v>
      </c>
      <c r="R117" s="1">
        <v>4</v>
      </c>
      <c r="S117" s="1">
        <v>562</v>
      </c>
      <c r="T117" s="1">
        <v>596</v>
      </c>
      <c r="U117" s="1">
        <f>T117+100</f>
        <v>696</v>
      </c>
      <c r="V117" t="s">
        <v>766</v>
      </c>
      <c r="W117" t="s">
        <v>773</v>
      </c>
      <c r="X117" t="s">
        <v>768</v>
      </c>
      <c r="Y117">
        <v>4</v>
      </c>
      <c r="Z117" s="5">
        <v>32.5</v>
      </c>
      <c r="AA117" s="5">
        <f>Z117/AB117</f>
        <v>0.26859504132231404</v>
      </c>
      <c r="AB117" s="5">
        <v>121</v>
      </c>
      <c r="AC117" s="2">
        <v>46031</v>
      </c>
      <c r="AD117" s="2">
        <v>46031</v>
      </c>
      <c r="AE117" s="3">
        <v>0.59607638888888892</v>
      </c>
      <c r="AF117" t="s">
        <v>26</v>
      </c>
      <c r="AG117" t="s">
        <v>27</v>
      </c>
      <c r="AH117" t="s">
        <v>28</v>
      </c>
      <c r="AI117" t="s">
        <v>29</v>
      </c>
      <c r="AJ117" t="s">
        <v>30</v>
      </c>
      <c r="AK117" t="s">
        <v>31</v>
      </c>
      <c r="AL117" t="s">
        <v>32</v>
      </c>
      <c r="AM117" t="s">
        <v>33</v>
      </c>
      <c r="AN117" t="s">
        <v>34</v>
      </c>
      <c r="AO117" t="s">
        <v>35</v>
      </c>
      <c r="AP117" t="s">
        <v>36</v>
      </c>
    </row>
    <row r="118" spans="1:42" x14ac:dyDescent="0.2">
      <c r="A118" s="1" t="s">
        <v>144</v>
      </c>
      <c r="B118" s="1" t="s">
        <v>145</v>
      </c>
      <c r="C118" s="1" t="s">
        <v>146</v>
      </c>
      <c r="D118" s="1" t="s">
        <v>147</v>
      </c>
      <c r="E118" s="6" t="s">
        <v>785</v>
      </c>
      <c r="F118" s="6" t="s">
        <v>785</v>
      </c>
      <c r="G118" s="6">
        <v>700</v>
      </c>
      <c r="H118" s="6">
        <v>292</v>
      </c>
      <c r="I118" s="4" t="s">
        <v>776</v>
      </c>
      <c r="J118" s="4">
        <v>0.08</v>
      </c>
      <c r="K118" s="6"/>
      <c r="L118" s="6"/>
      <c r="M118" s="1" t="s">
        <v>24</v>
      </c>
      <c r="N118" s="1" t="s">
        <v>41</v>
      </c>
      <c r="O118" s="1" t="s">
        <v>780</v>
      </c>
      <c r="P118" s="1" t="s">
        <v>41</v>
      </c>
      <c r="Q118" s="1">
        <v>6</v>
      </c>
      <c r="R118" s="1">
        <v>6</v>
      </c>
      <c r="S118" s="1">
        <v>315</v>
      </c>
      <c r="T118" s="1">
        <v>363</v>
      </c>
      <c r="U118" s="1">
        <f>T118+100</f>
        <v>463</v>
      </c>
      <c r="V118" t="s">
        <v>766</v>
      </c>
      <c r="X118" t="s">
        <v>768</v>
      </c>
      <c r="Y118">
        <v>4</v>
      </c>
      <c r="Z118" s="5">
        <v>32.5</v>
      </c>
      <c r="AA118" s="5">
        <f>Z118/AB118</f>
        <v>0.26859504132231404</v>
      </c>
      <c r="AB118" s="5">
        <v>121</v>
      </c>
      <c r="AC118" s="2">
        <v>46031</v>
      </c>
      <c r="AD118" s="2">
        <v>46031</v>
      </c>
      <c r="AE118" s="3">
        <v>0.61549768518518522</v>
      </c>
      <c r="AF118" t="s">
        <v>26</v>
      </c>
      <c r="AG118" t="s">
        <v>27</v>
      </c>
      <c r="AH118" t="s">
        <v>28</v>
      </c>
      <c r="AI118" t="s">
        <v>29</v>
      </c>
      <c r="AJ118" t="s">
        <v>30</v>
      </c>
      <c r="AK118" t="s">
        <v>31</v>
      </c>
      <c r="AL118" t="s">
        <v>32</v>
      </c>
      <c r="AM118" t="s">
        <v>33</v>
      </c>
      <c r="AN118" t="s">
        <v>34</v>
      </c>
      <c r="AO118" t="s">
        <v>35</v>
      </c>
      <c r="AP118" t="s">
        <v>36</v>
      </c>
    </row>
    <row r="119" spans="1:42" x14ac:dyDescent="0.2">
      <c r="A119" s="1" t="s">
        <v>189</v>
      </c>
      <c r="B119" s="1" t="s">
        <v>190</v>
      </c>
      <c r="C119" s="1" t="s">
        <v>191</v>
      </c>
      <c r="D119" s="1" t="s">
        <v>192</v>
      </c>
      <c r="E119" s="6" t="s">
        <v>785</v>
      </c>
      <c r="F119" s="6" t="s">
        <v>785</v>
      </c>
      <c r="G119" s="6">
        <v>1478</v>
      </c>
      <c r="H119" s="6">
        <v>412</v>
      </c>
      <c r="I119" s="4" t="s">
        <v>776</v>
      </c>
      <c r="J119" s="4">
        <v>0.6</v>
      </c>
      <c r="K119" s="6"/>
      <c r="L119" s="6"/>
      <c r="M119" s="1" t="s">
        <v>24</v>
      </c>
      <c r="N119" s="1" t="s">
        <v>41</v>
      </c>
      <c r="O119" s="1" t="s">
        <v>780</v>
      </c>
      <c r="P119" s="1" t="s">
        <v>41</v>
      </c>
      <c r="Q119" s="1">
        <v>2</v>
      </c>
      <c r="R119" s="1">
        <v>2</v>
      </c>
      <c r="S119" s="1">
        <v>470</v>
      </c>
      <c r="T119" s="1">
        <v>518</v>
      </c>
      <c r="U119" s="1">
        <f>T119+100</f>
        <v>618</v>
      </c>
      <c r="V119" t="s">
        <v>767</v>
      </c>
      <c r="W119" t="s">
        <v>767</v>
      </c>
      <c r="X119" t="s">
        <v>768</v>
      </c>
      <c r="Y119">
        <v>5</v>
      </c>
      <c r="Z119" s="5">
        <v>32.5</v>
      </c>
      <c r="AA119" s="5">
        <f>Z119/AB119</f>
        <v>0.30089806499398203</v>
      </c>
      <c r="AB119" s="5">
        <v>108.01</v>
      </c>
      <c r="AC119" s="2">
        <v>46031</v>
      </c>
      <c r="AD119" s="2">
        <v>46031</v>
      </c>
      <c r="AE119" s="3">
        <v>0.6088541666666667</v>
      </c>
      <c r="AF119" t="s">
        <v>188</v>
      </c>
      <c r="AG119" t="s">
        <v>27</v>
      </c>
      <c r="AH119" t="s">
        <v>28</v>
      </c>
      <c r="AI119" t="s">
        <v>29</v>
      </c>
      <c r="AJ119" t="s">
        <v>30</v>
      </c>
      <c r="AK119" t="s">
        <v>31</v>
      </c>
      <c r="AL119" t="s">
        <v>32</v>
      </c>
      <c r="AM119" t="s">
        <v>33</v>
      </c>
      <c r="AN119" t="s">
        <v>34</v>
      </c>
      <c r="AO119" t="s">
        <v>35</v>
      </c>
      <c r="AP119" t="s">
        <v>36</v>
      </c>
    </row>
    <row r="120" spans="1:42" x14ac:dyDescent="0.2">
      <c r="A120" s="1" t="s">
        <v>193</v>
      </c>
      <c r="B120" s="1" t="s">
        <v>194</v>
      </c>
      <c r="C120" s="1" t="s">
        <v>195</v>
      </c>
      <c r="D120" s="1" t="s">
        <v>196</v>
      </c>
      <c r="E120" s="6" t="s">
        <v>785</v>
      </c>
      <c r="F120" s="6" t="s">
        <v>785</v>
      </c>
      <c r="G120" s="6">
        <v>1478</v>
      </c>
      <c r="H120" s="6">
        <v>412</v>
      </c>
      <c r="I120" s="4" t="s">
        <v>776</v>
      </c>
      <c r="J120" s="4">
        <v>0.13700000000000001</v>
      </c>
      <c r="K120" s="6"/>
      <c r="L120" s="6"/>
      <c r="M120" s="1" t="s">
        <v>24</v>
      </c>
      <c r="N120" s="1" t="s">
        <v>41</v>
      </c>
      <c r="O120" s="1" t="s">
        <v>780</v>
      </c>
      <c r="P120" s="1" t="s">
        <v>41</v>
      </c>
      <c r="Q120" s="1">
        <v>2</v>
      </c>
      <c r="R120" s="1">
        <v>2</v>
      </c>
      <c r="S120" s="1">
        <v>494</v>
      </c>
      <c r="T120" s="1">
        <v>534</v>
      </c>
      <c r="U120" s="1">
        <f>T120+100</f>
        <v>634</v>
      </c>
      <c r="V120" t="s">
        <v>767</v>
      </c>
      <c r="W120" t="s">
        <v>767</v>
      </c>
      <c r="X120" t="s">
        <v>768</v>
      </c>
      <c r="Y120">
        <v>5</v>
      </c>
      <c r="Z120" s="5">
        <v>32.5</v>
      </c>
      <c r="AA120" s="5">
        <f>Z120/AB120</f>
        <v>0.30089806499398203</v>
      </c>
      <c r="AB120" s="5">
        <v>108.01</v>
      </c>
      <c r="AC120" s="2">
        <v>46031</v>
      </c>
      <c r="AD120" s="2">
        <v>46031</v>
      </c>
      <c r="AE120" s="3">
        <v>0.60872685185185182</v>
      </c>
      <c r="AF120" t="s">
        <v>188</v>
      </c>
      <c r="AG120" t="s">
        <v>27</v>
      </c>
      <c r="AH120" t="s">
        <v>28</v>
      </c>
      <c r="AI120" t="s">
        <v>29</v>
      </c>
      <c r="AJ120" t="s">
        <v>30</v>
      </c>
      <c r="AK120" t="s">
        <v>31</v>
      </c>
      <c r="AL120" t="s">
        <v>32</v>
      </c>
      <c r="AM120" t="s">
        <v>33</v>
      </c>
      <c r="AN120" t="s">
        <v>34</v>
      </c>
      <c r="AO120" t="s">
        <v>35</v>
      </c>
      <c r="AP120" t="s">
        <v>36</v>
      </c>
    </row>
    <row r="121" spans="1:42" x14ac:dyDescent="0.2">
      <c r="A121" s="1" t="s">
        <v>197</v>
      </c>
      <c r="B121" s="1" t="s">
        <v>198</v>
      </c>
      <c r="C121" s="1" t="s">
        <v>199</v>
      </c>
      <c r="D121" s="1" t="s">
        <v>200</v>
      </c>
      <c r="E121" s="6" t="s">
        <v>785</v>
      </c>
      <c r="F121" s="6" t="s">
        <v>785</v>
      </c>
      <c r="G121" s="6">
        <v>1478</v>
      </c>
      <c r="H121" s="6">
        <v>412</v>
      </c>
      <c r="I121" s="4" t="s">
        <v>776</v>
      </c>
      <c r="J121" s="4">
        <v>0.05</v>
      </c>
      <c r="K121" s="6"/>
      <c r="L121" s="6"/>
      <c r="M121" s="1" t="s">
        <v>24</v>
      </c>
      <c r="N121" s="1" t="s">
        <v>41</v>
      </c>
      <c r="O121" s="1" t="s">
        <v>780</v>
      </c>
      <c r="P121" s="1" t="s">
        <v>41</v>
      </c>
      <c r="Q121" s="1">
        <v>2</v>
      </c>
      <c r="R121" s="1">
        <v>2</v>
      </c>
      <c r="S121" s="1">
        <v>556</v>
      </c>
      <c r="T121" s="1">
        <v>580</v>
      </c>
      <c r="U121" s="1">
        <f>T121+100</f>
        <v>680</v>
      </c>
      <c r="V121" t="s">
        <v>767</v>
      </c>
      <c r="W121" t="s">
        <v>767</v>
      </c>
      <c r="X121" t="s">
        <v>768</v>
      </c>
      <c r="Y121">
        <v>5</v>
      </c>
      <c r="Z121" s="5">
        <v>32.5</v>
      </c>
      <c r="AA121" s="5">
        <f>Z121/AB121</f>
        <v>0.30089806499398203</v>
      </c>
      <c r="AB121" s="5">
        <v>108.01</v>
      </c>
      <c r="AC121" s="2">
        <v>46031</v>
      </c>
      <c r="AD121" s="2">
        <v>46031</v>
      </c>
      <c r="AE121" s="3">
        <v>0.60827546296296298</v>
      </c>
      <c r="AF121" t="s">
        <v>188</v>
      </c>
      <c r="AG121" t="s">
        <v>27</v>
      </c>
      <c r="AH121" t="s">
        <v>28</v>
      </c>
      <c r="AI121" t="s">
        <v>29</v>
      </c>
      <c r="AJ121" t="s">
        <v>30</v>
      </c>
      <c r="AK121" t="s">
        <v>31</v>
      </c>
      <c r="AL121" t="s">
        <v>32</v>
      </c>
      <c r="AM121" t="s">
        <v>33</v>
      </c>
      <c r="AN121" t="s">
        <v>34</v>
      </c>
      <c r="AO121" t="s">
        <v>35</v>
      </c>
      <c r="AP121" t="s">
        <v>36</v>
      </c>
    </row>
    <row r="122" spans="1:42" x14ac:dyDescent="0.2">
      <c r="A122" s="1" t="s">
        <v>201</v>
      </c>
      <c r="B122" s="1" t="s">
        <v>202</v>
      </c>
      <c r="C122" s="1" t="s">
        <v>203</v>
      </c>
      <c r="D122" s="1" t="s">
        <v>204</v>
      </c>
      <c r="E122" s="6" t="s">
        <v>785</v>
      </c>
      <c r="F122" s="6" t="s">
        <v>785</v>
      </c>
      <c r="G122" s="6">
        <v>1478</v>
      </c>
      <c r="H122" s="6">
        <v>412</v>
      </c>
      <c r="I122" s="4" t="s">
        <v>776</v>
      </c>
      <c r="J122" s="4">
        <v>0.16</v>
      </c>
      <c r="K122" s="6"/>
      <c r="L122" s="6"/>
      <c r="M122" s="1" t="s">
        <v>24</v>
      </c>
      <c r="N122" s="1" t="s">
        <v>41</v>
      </c>
      <c r="O122" s="1" t="s">
        <v>780</v>
      </c>
      <c r="P122" s="1" t="s">
        <v>41</v>
      </c>
      <c r="Q122" s="1">
        <v>2</v>
      </c>
      <c r="R122" s="1">
        <v>2</v>
      </c>
      <c r="S122" s="1">
        <v>278</v>
      </c>
      <c r="T122" s="1">
        <v>498</v>
      </c>
      <c r="U122" s="1">
        <f>T122+100</f>
        <v>598</v>
      </c>
      <c r="V122" t="s">
        <v>767</v>
      </c>
      <c r="W122" t="s">
        <v>767</v>
      </c>
      <c r="X122" t="s">
        <v>768</v>
      </c>
      <c r="Y122">
        <v>5</v>
      </c>
      <c r="Z122" s="5">
        <v>32.5</v>
      </c>
      <c r="AA122" s="5">
        <f>Z122/AB122</f>
        <v>0.30089806499398203</v>
      </c>
      <c r="AB122" s="5">
        <v>108.01</v>
      </c>
      <c r="AC122" s="2">
        <v>46031</v>
      </c>
      <c r="AD122" s="2">
        <v>46031</v>
      </c>
      <c r="AE122" s="3">
        <v>0.60755787037037035</v>
      </c>
      <c r="AF122" t="s">
        <v>188</v>
      </c>
      <c r="AG122" t="s">
        <v>27</v>
      </c>
      <c r="AH122" t="s">
        <v>28</v>
      </c>
      <c r="AI122" t="s">
        <v>29</v>
      </c>
      <c r="AJ122" t="s">
        <v>30</v>
      </c>
      <c r="AK122" t="s">
        <v>31</v>
      </c>
      <c r="AL122" t="s">
        <v>32</v>
      </c>
      <c r="AM122" t="s">
        <v>33</v>
      </c>
      <c r="AN122" t="s">
        <v>34</v>
      </c>
      <c r="AO122" t="s">
        <v>35</v>
      </c>
      <c r="AP122" t="s">
        <v>36</v>
      </c>
    </row>
    <row r="123" spans="1:42" x14ac:dyDescent="0.2">
      <c r="A123" s="1" t="s">
        <v>205</v>
      </c>
      <c r="B123" s="1" t="s">
        <v>206</v>
      </c>
      <c r="C123" s="1" t="s">
        <v>207</v>
      </c>
      <c r="D123" s="1" t="s">
        <v>208</v>
      </c>
      <c r="E123" s="6" t="s">
        <v>786</v>
      </c>
      <c r="F123" s="6" t="s">
        <v>786</v>
      </c>
      <c r="G123" s="6">
        <v>1478</v>
      </c>
      <c r="H123" s="6">
        <v>412</v>
      </c>
      <c r="I123" s="4" t="s">
        <v>776</v>
      </c>
      <c r="J123" s="4">
        <v>0.14099999999999999</v>
      </c>
      <c r="K123" s="6"/>
      <c r="L123" s="6"/>
      <c r="M123" s="1" t="s">
        <v>24</v>
      </c>
      <c r="N123" s="1" t="s">
        <v>41</v>
      </c>
      <c r="O123" s="1" t="s">
        <v>780</v>
      </c>
      <c r="P123" s="1" t="s">
        <v>41</v>
      </c>
      <c r="Q123" s="1">
        <v>2</v>
      </c>
      <c r="R123" s="1">
        <v>2</v>
      </c>
      <c r="S123" s="1">
        <v>456</v>
      </c>
      <c r="T123" s="1">
        <v>475</v>
      </c>
      <c r="U123" s="1">
        <f>T123+100</f>
        <v>575</v>
      </c>
      <c r="V123" t="s">
        <v>767</v>
      </c>
      <c r="X123" t="s">
        <v>768</v>
      </c>
      <c r="Y123">
        <v>5</v>
      </c>
      <c r="Z123" s="5">
        <v>32.5</v>
      </c>
      <c r="AA123" s="5">
        <f>Z123/AB123</f>
        <v>0.30089806499398203</v>
      </c>
      <c r="AB123" s="5">
        <v>108.01</v>
      </c>
      <c r="AC123" s="2">
        <v>46031</v>
      </c>
      <c r="AD123" s="2">
        <v>46031</v>
      </c>
      <c r="AE123" s="3">
        <v>0.60936342592592596</v>
      </c>
      <c r="AF123" t="s">
        <v>188</v>
      </c>
      <c r="AG123" t="s">
        <v>27</v>
      </c>
      <c r="AH123" t="s">
        <v>28</v>
      </c>
      <c r="AI123" t="s">
        <v>29</v>
      </c>
      <c r="AJ123" t="s">
        <v>30</v>
      </c>
      <c r="AK123" t="s">
        <v>31</v>
      </c>
      <c r="AL123" t="s">
        <v>32</v>
      </c>
      <c r="AM123" t="s">
        <v>33</v>
      </c>
      <c r="AN123" t="s">
        <v>34</v>
      </c>
      <c r="AO123" t="s">
        <v>35</v>
      </c>
      <c r="AP123" t="s">
        <v>36</v>
      </c>
    </row>
    <row r="124" spans="1:42" x14ac:dyDescent="0.2">
      <c r="A124" s="1" t="s">
        <v>317</v>
      </c>
      <c r="B124" s="1" t="s">
        <v>318</v>
      </c>
      <c r="C124" s="1" t="s">
        <v>319</v>
      </c>
      <c r="D124" s="1" t="s">
        <v>320</v>
      </c>
      <c r="E124" s="6" t="s">
        <v>785</v>
      </c>
      <c r="F124" s="6" t="s">
        <v>785</v>
      </c>
      <c r="G124" s="6">
        <v>1488</v>
      </c>
      <c r="H124" s="6">
        <v>401</v>
      </c>
      <c r="I124" s="4" t="s">
        <v>776</v>
      </c>
      <c r="J124" s="4">
        <v>0.248</v>
      </c>
      <c r="K124" s="6"/>
      <c r="L124" s="6"/>
      <c r="M124" s="1" t="s">
        <v>24</v>
      </c>
      <c r="N124" s="1" t="s">
        <v>25</v>
      </c>
      <c r="O124" s="1" t="s">
        <v>779</v>
      </c>
      <c r="P124" s="1" t="s">
        <v>25</v>
      </c>
      <c r="Q124" s="1">
        <v>3</v>
      </c>
      <c r="R124" s="1">
        <v>3</v>
      </c>
      <c r="S124" s="1">
        <v>572</v>
      </c>
      <c r="T124" s="1">
        <v>600</v>
      </c>
      <c r="U124" s="1">
        <f>T124+100</f>
        <v>700</v>
      </c>
      <c r="V124" t="s">
        <v>767</v>
      </c>
      <c r="X124" t="s">
        <v>768</v>
      </c>
      <c r="Y124">
        <v>5</v>
      </c>
      <c r="Z124" s="5">
        <v>32.5</v>
      </c>
      <c r="AA124" s="5">
        <f>Z124/AB124</f>
        <v>0.30089806499398203</v>
      </c>
      <c r="AB124" s="5">
        <v>108.01</v>
      </c>
      <c r="AC124" s="2">
        <v>46031</v>
      </c>
      <c r="AD124" s="2">
        <v>46031</v>
      </c>
      <c r="AE124" s="3">
        <v>0.59283564814814815</v>
      </c>
      <c r="AF124" t="s">
        <v>188</v>
      </c>
      <c r="AG124" t="s">
        <v>27</v>
      </c>
      <c r="AH124" t="s">
        <v>28</v>
      </c>
      <c r="AI124" t="s">
        <v>29</v>
      </c>
      <c r="AJ124" t="s">
        <v>30</v>
      </c>
      <c r="AK124" t="s">
        <v>31</v>
      </c>
      <c r="AL124" t="s">
        <v>32</v>
      </c>
      <c r="AM124" t="s">
        <v>33</v>
      </c>
      <c r="AN124" t="s">
        <v>34</v>
      </c>
      <c r="AO124" t="s">
        <v>35</v>
      </c>
      <c r="AP124" t="s">
        <v>36</v>
      </c>
    </row>
    <row r="125" spans="1:42" x14ac:dyDescent="0.2">
      <c r="A125" s="1" t="s">
        <v>289</v>
      </c>
      <c r="B125" s="1" t="s">
        <v>290</v>
      </c>
      <c r="C125" s="1" t="s">
        <v>291</v>
      </c>
      <c r="D125" s="1" t="s">
        <v>292</v>
      </c>
      <c r="E125" s="6" t="s">
        <v>785</v>
      </c>
      <c r="F125" s="6" t="s">
        <v>785</v>
      </c>
      <c r="G125" s="6">
        <v>1488</v>
      </c>
      <c r="H125" s="6">
        <v>408</v>
      </c>
      <c r="I125" s="4" t="s">
        <v>776</v>
      </c>
      <c r="J125" s="4">
        <v>6.7000000000000004E-2</v>
      </c>
      <c r="K125" s="6"/>
      <c r="L125" s="6"/>
      <c r="M125" s="1" t="s">
        <v>24</v>
      </c>
      <c r="N125" s="1" t="s">
        <v>25</v>
      </c>
      <c r="O125" s="1" t="s">
        <v>779</v>
      </c>
      <c r="P125" s="1" t="s">
        <v>25</v>
      </c>
      <c r="Q125" s="1">
        <v>3</v>
      </c>
      <c r="R125" s="1">
        <v>3</v>
      </c>
      <c r="S125" s="1">
        <v>468</v>
      </c>
      <c r="T125" s="1">
        <v>528</v>
      </c>
      <c r="U125" s="1">
        <f>T125+100</f>
        <v>628</v>
      </c>
      <c r="V125" t="s">
        <v>767</v>
      </c>
      <c r="W125" t="s">
        <v>767</v>
      </c>
      <c r="X125" t="s">
        <v>768</v>
      </c>
      <c r="Y125">
        <v>5</v>
      </c>
      <c r="Z125" s="5">
        <v>32.5</v>
      </c>
      <c r="AA125" s="5">
        <f>Z125/AB125</f>
        <v>0.30089806499398203</v>
      </c>
      <c r="AB125" s="5">
        <v>108.01</v>
      </c>
      <c r="AC125" s="2">
        <v>46031</v>
      </c>
      <c r="AD125" s="2">
        <v>46031</v>
      </c>
      <c r="AE125" s="3">
        <v>0.59420138888888885</v>
      </c>
      <c r="AF125" t="s">
        <v>188</v>
      </c>
      <c r="AG125" t="s">
        <v>27</v>
      </c>
      <c r="AH125" t="s">
        <v>28</v>
      </c>
      <c r="AI125" t="s">
        <v>29</v>
      </c>
      <c r="AJ125" t="s">
        <v>30</v>
      </c>
      <c r="AK125" t="s">
        <v>31</v>
      </c>
      <c r="AL125" t="s">
        <v>32</v>
      </c>
      <c r="AM125" t="s">
        <v>33</v>
      </c>
      <c r="AN125" t="s">
        <v>34</v>
      </c>
      <c r="AO125" t="s">
        <v>35</v>
      </c>
      <c r="AP125" t="s">
        <v>36</v>
      </c>
    </row>
    <row r="126" spans="1:42" x14ac:dyDescent="0.2">
      <c r="A126" s="1" t="s">
        <v>313</v>
      </c>
      <c r="B126" s="1" t="s">
        <v>314</v>
      </c>
      <c r="C126" s="1" t="s">
        <v>315</v>
      </c>
      <c r="D126" s="1" t="s">
        <v>316</v>
      </c>
      <c r="E126" s="6" t="s">
        <v>785</v>
      </c>
      <c r="F126" s="6" t="s">
        <v>785</v>
      </c>
      <c r="G126" s="6">
        <v>1488</v>
      </c>
      <c r="H126" s="6">
        <v>401</v>
      </c>
      <c r="I126" s="4" t="s">
        <v>776</v>
      </c>
      <c r="J126" s="4">
        <v>5.6000000000000001E-2</v>
      </c>
      <c r="K126" s="6"/>
      <c r="L126" s="6"/>
      <c r="M126" s="1" t="s">
        <v>24</v>
      </c>
      <c r="N126" s="1" t="s">
        <v>25</v>
      </c>
      <c r="O126" s="1" t="s">
        <v>779</v>
      </c>
      <c r="P126" s="1" t="s">
        <v>25</v>
      </c>
      <c r="Q126" s="1">
        <v>3</v>
      </c>
      <c r="R126" s="1">
        <v>3</v>
      </c>
      <c r="S126" s="1">
        <v>276</v>
      </c>
      <c r="T126" s="1">
        <v>320</v>
      </c>
      <c r="U126" s="1">
        <f>T126+100</f>
        <v>420</v>
      </c>
      <c r="V126" t="s">
        <v>767</v>
      </c>
      <c r="W126" t="s">
        <v>767</v>
      </c>
      <c r="X126" t="s">
        <v>768</v>
      </c>
      <c r="Y126">
        <v>5</v>
      </c>
      <c r="Z126" s="5">
        <v>32.5</v>
      </c>
      <c r="AA126" s="5">
        <f>Z126/AB126</f>
        <v>0.30089806499398203</v>
      </c>
      <c r="AB126" s="5">
        <v>108.01</v>
      </c>
      <c r="AC126" s="2">
        <v>46031</v>
      </c>
      <c r="AD126" s="2">
        <v>46031</v>
      </c>
      <c r="AE126" s="3">
        <v>0.59320601851851851</v>
      </c>
      <c r="AF126" t="s">
        <v>188</v>
      </c>
      <c r="AG126" t="s">
        <v>27</v>
      </c>
      <c r="AH126" t="s">
        <v>28</v>
      </c>
      <c r="AI126" t="s">
        <v>29</v>
      </c>
      <c r="AJ126" t="s">
        <v>30</v>
      </c>
      <c r="AK126" t="s">
        <v>31</v>
      </c>
      <c r="AL126" t="s">
        <v>32</v>
      </c>
      <c r="AM126" t="s">
        <v>33</v>
      </c>
      <c r="AN126" t="s">
        <v>34</v>
      </c>
      <c r="AO126" t="s">
        <v>35</v>
      </c>
      <c r="AP126" t="s">
        <v>36</v>
      </c>
    </row>
    <row r="127" spans="1:42" x14ac:dyDescent="0.2">
      <c r="A127" s="1" t="s">
        <v>321</v>
      </c>
      <c r="B127" s="1" t="s">
        <v>322</v>
      </c>
      <c r="C127" s="1" t="s">
        <v>323</v>
      </c>
      <c r="D127" s="1" t="s">
        <v>324</v>
      </c>
      <c r="E127" s="6" t="s">
        <v>786</v>
      </c>
      <c r="F127" s="6" t="s">
        <v>786</v>
      </c>
      <c r="G127" s="6">
        <v>1488</v>
      </c>
      <c r="H127" s="6">
        <v>401</v>
      </c>
      <c r="I127" s="4" t="s">
        <v>776</v>
      </c>
      <c r="J127" s="4">
        <v>0.13700000000000001</v>
      </c>
      <c r="K127" s="6"/>
      <c r="L127" s="6"/>
      <c r="M127" s="1" t="s">
        <v>24</v>
      </c>
      <c r="N127" s="1" t="s">
        <v>25</v>
      </c>
      <c r="O127" s="1" t="s">
        <v>779</v>
      </c>
      <c r="P127" s="1" t="s">
        <v>25</v>
      </c>
      <c r="Q127" s="1">
        <v>3</v>
      </c>
      <c r="R127" s="1">
        <v>3</v>
      </c>
      <c r="S127" s="1">
        <v>420</v>
      </c>
      <c r="T127" s="1">
        <v>552</v>
      </c>
      <c r="U127" s="1">
        <f>T127+100</f>
        <v>652</v>
      </c>
      <c r="V127" t="s">
        <v>767</v>
      </c>
      <c r="W127" t="s">
        <v>767</v>
      </c>
      <c r="X127" t="s">
        <v>768</v>
      </c>
      <c r="Y127">
        <v>5</v>
      </c>
      <c r="Z127" s="5">
        <v>32.5</v>
      </c>
      <c r="AA127" s="5">
        <f>Z127/AB127</f>
        <v>0.30089806499398203</v>
      </c>
      <c r="AB127" s="5">
        <v>108.01</v>
      </c>
      <c r="AC127" s="2">
        <v>46031</v>
      </c>
      <c r="AD127" s="2">
        <v>46031</v>
      </c>
      <c r="AE127" s="3">
        <v>0.59244212962962961</v>
      </c>
      <c r="AF127" t="s">
        <v>188</v>
      </c>
      <c r="AG127" t="s">
        <v>27</v>
      </c>
      <c r="AH127" t="s">
        <v>28</v>
      </c>
      <c r="AI127" t="s">
        <v>29</v>
      </c>
      <c r="AJ127" t="s">
        <v>30</v>
      </c>
      <c r="AK127" t="s">
        <v>31</v>
      </c>
      <c r="AL127" t="s">
        <v>32</v>
      </c>
      <c r="AM127" t="s">
        <v>33</v>
      </c>
      <c r="AN127" t="s">
        <v>34</v>
      </c>
      <c r="AO127" t="s">
        <v>35</v>
      </c>
      <c r="AP127" t="s">
        <v>36</v>
      </c>
    </row>
    <row r="128" spans="1:42" x14ac:dyDescent="0.2">
      <c r="A128" s="1" t="s">
        <v>365</v>
      </c>
      <c r="B128" s="1" t="s">
        <v>366</v>
      </c>
      <c r="C128" s="1" t="s">
        <v>367</v>
      </c>
      <c r="D128" s="1" t="s">
        <v>368</v>
      </c>
      <c r="E128" s="6" t="s">
        <v>785</v>
      </c>
      <c r="F128" s="6" t="s">
        <v>785</v>
      </c>
      <c r="G128" s="6">
        <v>1488</v>
      </c>
      <c r="H128" s="6">
        <v>408</v>
      </c>
      <c r="I128" s="4" t="s">
        <v>776</v>
      </c>
      <c r="J128" s="4">
        <v>0.252</v>
      </c>
      <c r="K128" s="6"/>
      <c r="L128" s="6"/>
      <c r="M128" s="1" t="s">
        <v>24</v>
      </c>
      <c r="N128" s="1" t="s">
        <v>25</v>
      </c>
      <c r="O128" s="1" t="s">
        <v>779</v>
      </c>
      <c r="P128" s="1" t="s">
        <v>25</v>
      </c>
      <c r="Q128" s="1">
        <v>3</v>
      </c>
      <c r="R128" s="1">
        <v>3</v>
      </c>
      <c r="S128" s="1">
        <v>441</v>
      </c>
      <c r="T128" s="1">
        <v>554</v>
      </c>
      <c r="U128" s="1">
        <f>T128+100</f>
        <v>654</v>
      </c>
      <c r="V128" t="s">
        <v>767</v>
      </c>
      <c r="X128" t="s">
        <v>768</v>
      </c>
      <c r="Y128">
        <v>5</v>
      </c>
      <c r="Z128" s="5">
        <v>32.5</v>
      </c>
      <c r="AA128" s="5">
        <f>Z128/AB128</f>
        <v>0.30089806499398203</v>
      </c>
      <c r="AB128" s="5">
        <v>108.01</v>
      </c>
      <c r="AC128" s="2">
        <v>46031</v>
      </c>
      <c r="AD128" s="2">
        <v>46031</v>
      </c>
      <c r="AE128" s="3">
        <v>0.58929398148148149</v>
      </c>
      <c r="AF128" t="s">
        <v>188</v>
      </c>
      <c r="AG128" t="s">
        <v>27</v>
      </c>
      <c r="AH128" t="s">
        <v>28</v>
      </c>
      <c r="AI128" t="s">
        <v>29</v>
      </c>
      <c r="AJ128" t="s">
        <v>30</v>
      </c>
      <c r="AK128" t="s">
        <v>31</v>
      </c>
      <c r="AL128" t="s">
        <v>32</v>
      </c>
      <c r="AM128" t="s">
        <v>33</v>
      </c>
      <c r="AN128" t="s">
        <v>34</v>
      </c>
      <c r="AO128" t="s">
        <v>35</v>
      </c>
      <c r="AP128" t="s">
        <v>36</v>
      </c>
    </row>
    <row r="129" spans="1:42" x14ac:dyDescent="0.2">
      <c r="A129" s="1" t="s">
        <v>369</v>
      </c>
      <c r="B129" s="1" t="s">
        <v>370</v>
      </c>
      <c r="C129" s="1" t="s">
        <v>371</v>
      </c>
      <c r="D129" s="1" t="s">
        <v>372</v>
      </c>
      <c r="E129" s="6" t="s">
        <v>785</v>
      </c>
      <c r="F129" s="6" t="s">
        <v>785</v>
      </c>
      <c r="G129" s="6">
        <v>1488</v>
      </c>
      <c r="H129" s="6">
        <v>401</v>
      </c>
      <c r="I129" s="4" t="s">
        <v>776</v>
      </c>
      <c r="J129" s="4">
        <v>0.14799999999999999</v>
      </c>
      <c r="K129" s="6"/>
      <c r="L129" s="6"/>
      <c r="M129" s="1" t="s">
        <v>24</v>
      </c>
      <c r="N129" s="1" t="s">
        <v>25</v>
      </c>
      <c r="O129" s="1" t="s">
        <v>779</v>
      </c>
      <c r="P129" s="1" t="s">
        <v>25</v>
      </c>
      <c r="Q129" s="1">
        <v>3</v>
      </c>
      <c r="R129" s="1">
        <v>3</v>
      </c>
      <c r="S129" s="1">
        <v>676</v>
      </c>
      <c r="T129" s="1">
        <v>729</v>
      </c>
      <c r="U129" s="1">
        <f>T129+100</f>
        <v>829</v>
      </c>
      <c r="V129" t="s">
        <v>767</v>
      </c>
      <c r="X129" t="s">
        <v>768</v>
      </c>
      <c r="Y129">
        <v>5</v>
      </c>
      <c r="Z129" s="5">
        <v>32.5</v>
      </c>
      <c r="AA129" s="5">
        <f>Z129/AB129</f>
        <v>0.30089806499398203</v>
      </c>
      <c r="AB129" s="5">
        <v>108.01</v>
      </c>
      <c r="AC129" s="2">
        <v>46031</v>
      </c>
      <c r="AD129" s="2">
        <v>46031</v>
      </c>
      <c r="AE129" s="3">
        <v>0.58953703703703708</v>
      </c>
      <c r="AF129" t="s">
        <v>188</v>
      </c>
      <c r="AG129" t="s">
        <v>27</v>
      </c>
      <c r="AH129" t="s">
        <v>28</v>
      </c>
      <c r="AI129" t="s">
        <v>29</v>
      </c>
      <c r="AJ129" t="s">
        <v>30</v>
      </c>
      <c r="AK129" t="s">
        <v>31</v>
      </c>
      <c r="AL129" t="s">
        <v>32</v>
      </c>
      <c r="AM129" t="s">
        <v>33</v>
      </c>
      <c r="AN129" t="s">
        <v>34</v>
      </c>
      <c r="AO129" t="s">
        <v>35</v>
      </c>
      <c r="AP129" t="s">
        <v>36</v>
      </c>
    </row>
    <row r="130" spans="1:42" x14ac:dyDescent="0.2">
      <c r="A130" s="1" t="s">
        <v>373</v>
      </c>
      <c r="B130" s="1" t="s">
        <v>374</v>
      </c>
      <c r="C130" s="1" t="s">
        <v>375</v>
      </c>
      <c r="D130" s="1" t="s">
        <v>376</v>
      </c>
      <c r="E130" s="6" t="s">
        <v>785</v>
      </c>
      <c r="F130" s="6" t="s">
        <v>785</v>
      </c>
      <c r="G130" s="6">
        <v>1488</v>
      </c>
      <c r="H130" s="6">
        <v>401</v>
      </c>
      <c r="I130" s="4" t="s">
        <v>776</v>
      </c>
      <c r="J130" s="4">
        <v>0.314</v>
      </c>
      <c r="K130" s="6"/>
      <c r="L130" s="6"/>
      <c r="M130" s="1" t="s">
        <v>24</v>
      </c>
      <c r="N130" s="1" t="s">
        <v>25</v>
      </c>
      <c r="O130" s="1" t="s">
        <v>779</v>
      </c>
      <c r="P130" s="1" t="s">
        <v>25</v>
      </c>
      <c r="Q130" s="1">
        <v>3</v>
      </c>
      <c r="R130" s="1">
        <v>3</v>
      </c>
      <c r="S130" s="1">
        <v>460</v>
      </c>
      <c r="T130" s="1">
        <v>513</v>
      </c>
      <c r="U130" s="1">
        <f>T130+100</f>
        <v>613</v>
      </c>
      <c r="V130" t="s">
        <v>767</v>
      </c>
      <c r="X130" t="s">
        <v>768</v>
      </c>
      <c r="Y130">
        <v>5</v>
      </c>
      <c r="Z130" s="5">
        <v>32.5</v>
      </c>
      <c r="AA130" s="5">
        <f>Z130/AB130</f>
        <v>0.30089806499398203</v>
      </c>
      <c r="AB130" s="5">
        <v>108.01</v>
      </c>
      <c r="AC130" s="2">
        <v>46031</v>
      </c>
      <c r="AD130" s="2">
        <v>46031</v>
      </c>
      <c r="AE130" s="3">
        <v>0.58972222222222226</v>
      </c>
      <c r="AF130" t="s">
        <v>188</v>
      </c>
      <c r="AG130" t="s">
        <v>27</v>
      </c>
      <c r="AH130" t="s">
        <v>28</v>
      </c>
      <c r="AI130" t="s">
        <v>29</v>
      </c>
      <c r="AJ130" t="s">
        <v>30</v>
      </c>
      <c r="AK130" t="s">
        <v>31</v>
      </c>
      <c r="AL130" t="s">
        <v>32</v>
      </c>
      <c r="AM130" t="s">
        <v>33</v>
      </c>
      <c r="AN130" t="s">
        <v>34</v>
      </c>
      <c r="AO130" t="s">
        <v>35</v>
      </c>
      <c r="AP130" t="s">
        <v>36</v>
      </c>
    </row>
    <row r="131" spans="1:42" x14ac:dyDescent="0.2">
      <c r="A131" s="1" t="s">
        <v>377</v>
      </c>
      <c r="B131" s="1" t="s">
        <v>378</v>
      </c>
      <c r="C131" s="1" t="s">
        <v>379</v>
      </c>
      <c r="D131" s="1" t="s">
        <v>380</v>
      </c>
      <c r="E131" s="6" t="s">
        <v>785</v>
      </c>
      <c r="F131" s="6" t="s">
        <v>786</v>
      </c>
      <c r="G131" s="6">
        <v>1488</v>
      </c>
      <c r="H131" s="6">
        <v>401</v>
      </c>
      <c r="I131" s="4" t="s">
        <v>776</v>
      </c>
      <c r="J131" s="4">
        <v>5.0999999999999997E-2</v>
      </c>
      <c r="K131" s="6"/>
      <c r="L131" s="6"/>
      <c r="M131" s="1" t="s">
        <v>24</v>
      </c>
      <c r="N131" s="1" t="s">
        <v>25</v>
      </c>
      <c r="O131" s="1" t="s">
        <v>779</v>
      </c>
      <c r="P131" s="1" t="s">
        <v>25</v>
      </c>
      <c r="Q131" s="1">
        <v>3</v>
      </c>
      <c r="R131" s="1">
        <v>3</v>
      </c>
      <c r="S131" s="1">
        <v>448</v>
      </c>
      <c r="T131" s="1">
        <v>575</v>
      </c>
      <c r="U131" s="1">
        <f>T131+100</f>
        <v>675</v>
      </c>
      <c r="V131" t="s">
        <v>767</v>
      </c>
      <c r="X131" t="s">
        <v>768</v>
      </c>
      <c r="Y131">
        <v>5</v>
      </c>
      <c r="Z131" s="5">
        <v>32.5</v>
      </c>
      <c r="AA131" s="5">
        <f>Z131/AB131</f>
        <v>0.30089806499398203</v>
      </c>
      <c r="AB131" s="5">
        <v>108.01</v>
      </c>
      <c r="AC131" s="2">
        <v>46031</v>
      </c>
      <c r="AD131" s="2">
        <v>46031</v>
      </c>
      <c r="AE131" s="3">
        <v>0.59115740740740741</v>
      </c>
      <c r="AF131" t="s">
        <v>188</v>
      </c>
      <c r="AG131" t="s">
        <v>27</v>
      </c>
      <c r="AH131" t="s">
        <v>28</v>
      </c>
      <c r="AI131" t="s">
        <v>29</v>
      </c>
      <c r="AJ131" t="s">
        <v>30</v>
      </c>
      <c r="AK131" t="s">
        <v>31</v>
      </c>
      <c r="AL131" t="s">
        <v>32</v>
      </c>
      <c r="AM131" t="s">
        <v>33</v>
      </c>
      <c r="AN131" t="s">
        <v>34</v>
      </c>
      <c r="AO131" t="s">
        <v>35</v>
      </c>
      <c r="AP131" t="s">
        <v>36</v>
      </c>
    </row>
    <row r="132" spans="1:42" x14ac:dyDescent="0.2">
      <c r="A132" s="1" t="s">
        <v>381</v>
      </c>
      <c r="B132" s="1" t="s">
        <v>382</v>
      </c>
      <c r="C132" s="1" t="s">
        <v>383</v>
      </c>
      <c r="D132" s="1" t="s">
        <v>384</v>
      </c>
      <c r="E132" s="6" t="s">
        <v>786</v>
      </c>
      <c r="F132" s="6" t="s">
        <v>786</v>
      </c>
      <c r="G132" s="6">
        <v>1488</v>
      </c>
      <c r="H132" s="6">
        <v>401</v>
      </c>
      <c r="I132" s="4" t="s">
        <v>776</v>
      </c>
      <c r="J132" s="4">
        <v>9.8000000000000004E-2</v>
      </c>
      <c r="K132" s="6"/>
      <c r="L132" s="6"/>
      <c r="M132" s="1" t="s">
        <v>24</v>
      </c>
      <c r="N132" s="1" t="s">
        <v>25</v>
      </c>
      <c r="O132" s="1" t="s">
        <v>779</v>
      </c>
      <c r="P132" s="1" t="s">
        <v>25</v>
      </c>
      <c r="Q132" s="1">
        <v>3</v>
      </c>
      <c r="R132" s="1">
        <v>3</v>
      </c>
      <c r="S132" s="1">
        <v>503</v>
      </c>
      <c r="T132" s="1">
        <v>589</v>
      </c>
      <c r="U132" s="1">
        <f>T132+100</f>
        <v>689</v>
      </c>
      <c r="V132" t="s">
        <v>767</v>
      </c>
      <c r="X132" t="s">
        <v>768</v>
      </c>
      <c r="Y132">
        <v>5</v>
      </c>
      <c r="Z132" s="5">
        <v>32.5</v>
      </c>
      <c r="AA132" s="5">
        <f>Z132/AB132</f>
        <v>0.30089806499398203</v>
      </c>
      <c r="AB132" s="5">
        <v>108.01</v>
      </c>
      <c r="AC132" s="2">
        <v>46031</v>
      </c>
      <c r="AD132" s="2">
        <v>46031</v>
      </c>
      <c r="AE132" s="3">
        <v>0.59267361111111116</v>
      </c>
      <c r="AF132" t="s">
        <v>188</v>
      </c>
      <c r="AG132" t="s">
        <v>27</v>
      </c>
      <c r="AH132" t="s">
        <v>28</v>
      </c>
      <c r="AI132" t="s">
        <v>29</v>
      </c>
      <c r="AJ132" t="s">
        <v>30</v>
      </c>
      <c r="AK132" t="s">
        <v>31</v>
      </c>
      <c r="AL132" t="s">
        <v>32</v>
      </c>
      <c r="AM132" t="s">
        <v>33</v>
      </c>
      <c r="AN132" t="s">
        <v>34</v>
      </c>
      <c r="AO132" t="s">
        <v>35</v>
      </c>
      <c r="AP132" t="s">
        <v>36</v>
      </c>
    </row>
    <row r="133" spans="1:42" x14ac:dyDescent="0.2">
      <c r="A133" s="1" t="s">
        <v>293</v>
      </c>
      <c r="B133" s="1" t="s">
        <v>294</v>
      </c>
      <c r="C133" s="1" t="s">
        <v>295</v>
      </c>
      <c r="D133" s="1" t="s">
        <v>296</v>
      </c>
      <c r="E133" s="6" t="s">
        <v>786</v>
      </c>
      <c r="F133" s="6" t="s">
        <v>786</v>
      </c>
      <c r="G133" s="6">
        <v>1477</v>
      </c>
      <c r="H133" s="6">
        <v>410</v>
      </c>
      <c r="I133" s="4" t="s">
        <v>776</v>
      </c>
      <c r="J133" s="4">
        <v>6.4000000000000001E-2</v>
      </c>
      <c r="K133" s="6"/>
      <c r="L133" s="6"/>
      <c r="M133" s="1" t="s">
        <v>24</v>
      </c>
      <c r="N133" s="1" t="s">
        <v>25</v>
      </c>
      <c r="O133" s="1" t="s">
        <v>780</v>
      </c>
      <c r="P133" s="1" t="s">
        <v>25</v>
      </c>
      <c r="Q133" s="1">
        <v>5</v>
      </c>
      <c r="R133" s="1">
        <v>5</v>
      </c>
      <c r="S133" s="1">
        <v>522</v>
      </c>
      <c r="T133" s="1">
        <v>560</v>
      </c>
      <c r="U133" s="1">
        <f>T133+100</f>
        <v>660</v>
      </c>
      <c r="V133" t="s">
        <v>767</v>
      </c>
      <c r="W133" t="s">
        <v>767</v>
      </c>
      <c r="X133" t="s">
        <v>768</v>
      </c>
      <c r="Y133">
        <v>5</v>
      </c>
      <c r="Z133" s="5">
        <v>32.5</v>
      </c>
      <c r="AA133" s="5">
        <f>Z133/AB133</f>
        <v>0.30089806499398203</v>
      </c>
      <c r="AB133" s="5">
        <v>108.01</v>
      </c>
      <c r="AC133" s="2">
        <v>46031</v>
      </c>
      <c r="AD133" s="2">
        <v>46031</v>
      </c>
      <c r="AE133" s="3">
        <v>0.60177083333333337</v>
      </c>
      <c r="AF133" t="s">
        <v>188</v>
      </c>
      <c r="AG133" t="s">
        <v>27</v>
      </c>
      <c r="AH133" t="s">
        <v>28</v>
      </c>
      <c r="AI133" t="s">
        <v>29</v>
      </c>
      <c r="AJ133" t="s">
        <v>30</v>
      </c>
      <c r="AK133" t="s">
        <v>31</v>
      </c>
      <c r="AL133" t="s">
        <v>32</v>
      </c>
      <c r="AM133" t="s">
        <v>33</v>
      </c>
      <c r="AN133" t="s">
        <v>34</v>
      </c>
      <c r="AO133" t="s">
        <v>35</v>
      </c>
      <c r="AP133" t="s">
        <v>36</v>
      </c>
    </row>
    <row r="134" spans="1:42" x14ac:dyDescent="0.2">
      <c r="A134" s="1" t="s">
        <v>297</v>
      </c>
      <c r="B134" s="1" t="s">
        <v>298</v>
      </c>
      <c r="C134" s="1" t="s">
        <v>299</v>
      </c>
      <c r="D134" s="1" t="s">
        <v>300</v>
      </c>
      <c r="E134" s="6" t="s">
        <v>786</v>
      </c>
      <c r="F134" s="6" t="s">
        <v>786</v>
      </c>
      <c r="G134" s="6">
        <v>1477</v>
      </c>
      <c r="H134" s="6">
        <v>410</v>
      </c>
      <c r="I134" s="4" t="s">
        <v>776</v>
      </c>
      <c r="J134" s="4">
        <v>9.6000000000000002E-2</v>
      </c>
      <c r="K134" s="6"/>
      <c r="L134" s="6"/>
      <c r="M134" s="1" t="s">
        <v>24</v>
      </c>
      <c r="N134" s="1" t="s">
        <v>25</v>
      </c>
      <c r="O134" s="1" t="s">
        <v>780</v>
      </c>
      <c r="P134" s="1" t="s">
        <v>25</v>
      </c>
      <c r="Q134" s="1">
        <v>5</v>
      </c>
      <c r="R134" s="1">
        <v>5</v>
      </c>
      <c r="S134" s="1">
        <v>544</v>
      </c>
      <c r="T134" s="1">
        <v>575</v>
      </c>
      <c r="U134" s="1">
        <f>T134+100</f>
        <v>675</v>
      </c>
      <c r="V134" t="s">
        <v>767</v>
      </c>
      <c r="W134" t="s">
        <v>767</v>
      </c>
      <c r="X134" t="s">
        <v>768</v>
      </c>
      <c r="Y134">
        <v>5</v>
      </c>
      <c r="Z134" s="5">
        <v>32.5</v>
      </c>
      <c r="AA134" s="5">
        <f>Z134/AB134</f>
        <v>0.30089806499398203</v>
      </c>
      <c r="AB134" s="5">
        <v>108.01</v>
      </c>
      <c r="AC134" s="2">
        <v>46031</v>
      </c>
      <c r="AD134" s="2">
        <v>46031</v>
      </c>
      <c r="AE134" s="3">
        <v>0.60256944444444449</v>
      </c>
      <c r="AF134" t="s">
        <v>188</v>
      </c>
      <c r="AG134" t="s">
        <v>27</v>
      </c>
      <c r="AH134" t="s">
        <v>28</v>
      </c>
      <c r="AI134" t="s">
        <v>29</v>
      </c>
      <c r="AJ134" t="s">
        <v>30</v>
      </c>
      <c r="AK134" t="s">
        <v>31</v>
      </c>
      <c r="AL134" t="s">
        <v>32</v>
      </c>
      <c r="AM134" t="s">
        <v>33</v>
      </c>
      <c r="AN134" t="s">
        <v>34</v>
      </c>
      <c r="AO134" t="s">
        <v>35</v>
      </c>
      <c r="AP134" t="s">
        <v>36</v>
      </c>
    </row>
    <row r="135" spans="1:42" x14ac:dyDescent="0.2">
      <c r="A135" s="1" t="s">
        <v>301</v>
      </c>
      <c r="B135" s="1" t="s">
        <v>302</v>
      </c>
      <c r="C135" s="1" t="s">
        <v>303</v>
      </c>
      <c r="D135" s="1" t="s">
        <v>304</v>
      </c>
      <c r="E135" s="6" t="s">
        <v>785</v>
      </c>
      <c r="F135" s="6" t="s">
        <v>785</v>
      </c>
      <c r="G135" s="6">
        <v>1477</v>
      </c>
      <c r="H135" s="6">
        <v>410</v>
      </c>
      <c r="I135" s="4" t="s">
        <v>776</v>
      </c>
      <c r="J135" s="4">
        <v>0.161</v>
      </c>
      <c r="K135" s="6"/>
      <c r="L135" s="6"/>
      <c r="M135" s="1" t="s">
        <v>24</v>
      </c>
      <c r="N135" s="1" t="s">
        <v>25</v>
      </c>
      <c r="O135" s="1" t="s">
        <v>780</v>
      </c>
      <c r="P135" s="1" t="s">
        <v>25</v>
      </c>
      <c r="Q135" s="1">
        <v>5</v>
      </c>
      <c r="R135" s="1">
        <v>5</v>
      </c>
      <c r="S135" s="1">
        <v>481</v>
      </c>
      <c r="T135" s="1">
        <v>520</v>
      </c>
      <c r="U135" s="1">
        <f>T135+100</f>
        <v>620</v>
      </c>
      <c r="V135" t="s">
        <v>767</v>
      </c>
      <c r="W135" t="s">
        <v>767</v>
      </c>
      <c r="X135" t="s">
        <v>768</v>
      </c>
      <c r="Y135">
        <v>5</v>
      </c>
      <c r="Z135" s="5">
        <v>32.5</v>
      </c>
      <c r="AA135" s="5">
        <f>Z135/AB135</f>
        <v>0.30089806499398203</v>
      </c>
      <c r="AB135" s="5">
        <v>108.01</v>
      </c>
      <c r="AC135" s="2">
        <v>46031</v>
      </c>
      <c r="AD135" s="2">
        <v>46031</v>
      </c>
      <c r="AE135" s="3">
        <v>0.60337962962962965</v>
      </c>
      <c r="AF135" t="s">
        <v>188</v>
      </c>
      <c r="AG135" t="s">
        <v>27</v>
      </c>
      <c r="AH135" t="s">
        <v>28</v>
      </c>
      <c r="AI135" t="s">
        <v>29</v>
      </c>
      <c r="AJ135" t="s">
        <v>30</v>
      </c>
      <c r="AK135" t="s">
        <v>31</v>
      </c>
      <c r="AL135" t="s">
        <v>32</v>
      </c>
      <c r="AM135" t="s">
        <v>33</v>
      </c>
      <c r="AN135" t="s">
        <v>34</v>
      </c>
      <c r="AO135" t="s">
        <v>35</v>
      </c>
      <c r="AP135" t="s">
        <v>36</v>
      </c>
    </row>
    <row r="136" spans="1:42" x14ac:dyDescent="0.2">
      <c r="A136" s="1" t="s">
        <v>305</v>
      </c>
      <c r="B136" s="1" t="s">
        <v>306</v>
      </c>
      <c r="C136" s="1" t="s">
        <v>307</v>
      </c>
      <c r="D136" s="1" t="s">
        <v>308</v>
      </c>
      <c r="E136" s="6" t="s">
        <v>786</v>
      </c>
      <c r="F136" s="6" t="s">
        <v>786</v>
      </c>
      <c r="G136" s="6">
        <v>1477</v>
      </c>
      <c r="H136" s="6">
        <v>410</v>
      </c>
      <c r="I136" s="4" t="s">
        <v>776</v>
      </c>
      <c r="J136" s="4">
        <v>0.21299999999999999</v>
      </c>
      <c r="K136" s="6"/>
      <c r="L136" s="6"/>
      <c r="M136" s="1" t="s">
        <v>24</v>
      </c>
      <c r="N136" s="1" t="s">
        <v>25</v>
      </c>
      <c r="O136" s="1" t="s">
        <v>780</v>
      </c>
      <c r="P136" s="1" t="s">
        <v>25</v>
      </c>
      <c r="Q136" s="1">
        <v>5</v>
      </c>
      <c r="R136" s="1">
        <v>5</v>
      </c>
      <c r="S136" s="1">
        <v>468</v>
      </c>
      <c r="T136" s="1">
        <v>492</v>
      </c>
      <c r="U136" s="1">
        <f>T136+100</f>
        <v>592</v>
      </c>
      <c r="V136" t="s">
        <v>767</v>
      </c>
      <c r="W136" t="s">
        <v>767</v>
      </c>
      <c r="X136" t="s">
        <v>768</v>
      </c>
      <c r="Y136">
        <v>5</v>
      </c>
      <c r="Z136" s="5">
        <v>32.5</v>
      </c>
      <c r="AA136" s="5">
        <f>Z136/AB136</f>
        <v>0.30089806499398203</v>
      </c>
      <c r="AB136" s="5">
        <v>108.01</v>
      </c>
      <c r="AC136" s="2">
        <v>46031</v>
      </c>
      <c r="AD136" s="2">
        <v>46031</v>
      </c>
      <c r="AE136" s="3">
        <v>0.60370370370370374</v>
      </c>
      <c r="AF136" t="s">
        <v>188</v>
      </c>
      <c r="AG136" t="s">
        <v>27</v>
      </c>
      <c r="AH136" t="s">
        <v>28</v>
      </c>
      <c r="AI136" t="s">
        <v>29</v>
      </c>
      <c r="AJ136" t="s">
        <v>30</v>
      </c>
      <c r="AK136" t="s">
        <v>31</v>
      </c>
      <c r="AL136" t="s">
        <v>32</v>
      </c>
      <c r="AM136" t="s">
        <v>33</v>
      </c>
      <c r="AN136" t="s">
        <v>34</v>
      </c>
      <c r="AO136" t="s">
        <v>35</v>
      </c>
      <c r="AP136" t="s">
        <v>36</v>
      </c>
    </row>
    <row r="137" spans="1:42" x14ac:dyDescent="0.2">
      <c r="A137" s="1" t="s">
        <v>309</v>
      </c>
      <c r="B137" s="1" t="s">
        <v>310</v>
      </c>
      <c r="C137" s="1" t="s">
        <v>311</v>
      </c>
      <c r="D137" s="1" t="s">
        <v>312</v>
      </c>
      <c r="E137" s="6" t="s">
        <v>785</v>
      </c>
      <c r="F137" s="6" t="s">
        <v>785</v>
      </c>
      <c r="G137" s="6">
        <v>1477</v>
      </c>
      <c r="H137" s="6">
        <v>410</v>
      </c>
      <c r="I137" s="4" t="s">
        <v>776</v>
      </c>
      <c r="J137" s="4">
        <v>0.28399999999999997</v>
      </c>
      <c r="K137" s="6"/>
      <c r="L137" s="6"/>
      <c r="M137" s="1" t="s">
        <v>24</v>
      </c>
      <c r="N137" s="1" t="s">
        <v>25</v>
      </c>
      <c r="O137" s="1" t="s">
        <v>780</v>
      </c>
      <c r="P137" s="1" t="s">
        <v>25</v>
      </c>
      <c r="Q137" s="1">
        <v>5</v>
      </c>
      <c r="R137" s="1">
        <v>5</v>
      </c>
      <c r="S137" s="1">
        <v>451</v>
      </c>
      <c r="T137" s="1">
        <v>480</v>
      </c>
      <c r="U137" s="1">
        <f>T137+100</f>
        <v>580</v>
      </c>
      <c r="V137" t="s">
        <v>767</v>
      </c>
      <c r="W137" t="s">
        <v>767</v>
      </c>
      <c r="X137" t="s">
        <v>768</v>
      </c>
      <c r="Y137">
        <v>5</v>
      </c>
      <c r="Z137" s="5">
        <v>32.5</v>
      </c>
      <c r="AA137" s="5">
        <f>Z137/AB137</f>
        <v>0.30089806499398203</v>
      </c>
      <c r="AB137" s="5">
        <v>108.01</v>
      </c>
      <c r="AC137" s="2">
        <v>46031</v>
      </c>
      <c r="AD137" s="2">
        <v>46031</v>
      </c>
      <c r="AE137" s="3">
        <v>0.60386574074074073</v>
      </c>
      <c r="AF137" t="s">
        <v>188</v>
      </c>
      <c r="AG137" t="s">
        <v>27</v>
      </c>
      <c r="AH137" t="s">
        <v>28</v>
      </c>
      <c r="AI137" t="s">
        <v>29</v>
      </c>
      <c r="AJ137" t="s">
        <v>30</v>
      </c>
      <c r="AK137" t="s">
        <v>31</v>
      </c>
      <c r="AL137" t="s">
        <v>32</v>
      </c>
      <c r="AM137" t="s">
        <v>33</v>
      </c>
      <c r="AN137" t="s">
        <v>34</v>
      </c>
      <c r="AO137" t="s">
        <v>35</v>
      </c>
      <c r="AP137" t="s">
        <v>36</v>
      </c>
    </row>
    <row r="138" spans="1:42" x14ac:dyDescent="0.2">
      <c r="A138" s="1" t="s">
        <v>101</v>
      </c>
      <c r="B138" s="1" t="s">
        <v>102</v>
      </c>
      <c r="C138" s="1" t="s">
        <v>103</v>
      </c>
      <c r="D138" s="1" t="s">
        <v>104</v>
      </c>
      <c r="E138" s="6" t="s">
        <v>785</v>
      </c>
      <c r="F138" s="6" t="s">
        <v>785</v>
      </c>
      <c r="G138" s="6">
        <v>694</v>
      </c>
      <c r="H138" s="6">
        <v>289</v>
      </c>
      <c r="I138" s="4" t="s">
        <v>776</v>
      </c>
      <c r="J138" s="4">
        <v>0.25600000000000001</v>
      </c>
      <c r="K138" s="6"/>
      <c r="L138" s="6"/>
      <c r="M138" s="1" t="s">
        <v>24</v>
      </c>
      <c r="N138" s="1" t="s">
        <v>25</v>
      </c>
      <c r="O138" s="1" t="s">
        <v>779</v>
      </c>
      <c r="P138" s="1" t="s">
        <v>25</v>
      </c>
      <c r="Q138" s="1">
        <v>4</v>
      </c>
      <c r="R138" s="1">
        <v>4</v>
      </c>
      <c r="S138" s="1">
        <v>760</v>
      </c>
      <c r="T138" s="1">
        <v>816</v>
      </c>
      <c r="U138" s="1">
        <f>T138+100</f>
        <v>916</v>
      </c>
      <c r="V138" t="s">
        <v>766</v>
      </c>
      <c r="X138" t="s">
        <v>768</v>
      </c>
      <c r="Y138">
        <v>4</v>
      </c>
      <c r="Z138" s="5">
        <v>32.5</v>
      </c>
      <c r="AA138" s="5">
        <f>Z138/AB138</f>
        <v>0.29013194308057633</v>
      </c>
      <c r="AB138" s="5">
        <v>112.018</v>
      </c>
      <c r="AC138" s="2">
        <v>46038</v>
      </c>
      <c r="AD138" s="2">
        <v>46038</v>
      </c>
      <c r="AE138" s="3">
        <v>0.65181712962962968</v>
      </c>
      <c r="AF138" t="s">
        <v>26</v>
      </c>
      <c r="AG138" t="s">
        <v>91</v>
      </c>
      <c r="AH138" t="s">
        <v>92</v>
      </c>
      <c r="AI138" t="s">
        <v>93</v>
      </c>
      <c r="AJ138" t="s">
        <v>94</v>
      </c>
      <c r="AK138" t="s">
        <v>95</v>
      </c>
      <c r="AL138" t="s">
        <v>96</v>
      </c>
      <c r="AM138" t="s">
        <v>97</v>
      </c>
      <c r="AN138" t="s">
        <v>98</v>
      </c>
      <c r="AO138" t="s">
        <v>99</v>
      </c>
      <c r="AP138" t="s">
        <v>100</v>
      </c>
    </row>
    <row r="139" spans="1:42" x14ac:dyDescent="0.2">
      <c r="A139" s="1" t="s">
        <v>105</v>
      </c>
      <c r="B139" s="1" t="s">
        <v>106</v>
      </c>
      <c r="C139" s="1" t="s">
        <v>107</v>
      </c>
      <c r="D139" s="1" t="s">
        <v>108</v>
      </c>
      <c r="E139" s="6" t="s">
        <v>785</v>
      </c>
      <c r="F139" s="6" t="s">
        <v>785</v>
      </c>
      <c r="G139" s="6">
        <v>694</v>
      </c>
      <c r="H139" s="6">
        <v>289</v>
      </c>
      <c r="I139" s="4" t="s">
        <v>776</v>
      </c>
      <c r="J139" s="4">
        <v>0.15</v>
      </c>
      <c r="K139" s="6"/>
      <c r="L139" s="6"/>
      <c r="M139" s="1" t="s">
        <v>24</v>
      </c>
      <c r="N139" s="1" t="s">
        <v>25</v>
      </c>
      <c r="O139" s="1" t="s">
        <v>779</v>
      </c>
      <c r="P139" s="1" t="s">
        <v>25</v>
      </c>
      <c r="Q139" s="1">
        <v>4</v>
      </c>
      <c r="R139" s="1">
        <v>4</v>
      </c>
      <c r="S139" s="1">
        <v>531</v>
      </c>
      <c r="T139" s="1">
        <v>583</v>
      </c>
      <c r="U139" s="1">
        <f>T139+100</f>
        <v>683</v>
      </c>
      <c r="V139" t="s">
        <v>766</v>
      </c>
      <c r="X139" t="s">
        <v>768</v>
      </c>
      <c r="Y139">
        <v>4</v>
      </c>
      <c r="Z139" s="5">
        <v>32.5</v>
      </c>
      <c r="AA139" s="5">
        <f>Z139/AB139</f>
        <v>0.29013194308057633</v>
      </c>
      <c r="AB139" s="5">
        <v>112.018</v>
      </c>
      <c r="AC139" s="2">
        <v>46038</v>
      </c>
      <c r="AD139" s="2">
        <v>46038</v>
      </c>
      <c r="AE139" s="3">
        <v>0.65310185185185188</v>
      </c>
      <c r="AF139" t="s">
        <v>26</v>
      </c>
      <c r="AG139" t="s">
        <v>91</v>
      </c>
      <c r="AH139" t="s">
        <v>92</v>
      </c>
      <c r="AI139" t="s">
        <v>93</v>
      </c>
      <c r="AJ139" t="s">
        <v>94</v>
      </c>
      <c r="AK139" t="s">
        <v>95</v>
      </c>
      <c r="AL139" t="s">
        <v>96</v>
      </c>
      <c r="AM139" t="s">
        <v>97</v>
      </c>
      <c r="AN139" t="s">
        <v>98</v>
      </c>
      <c r="AO139" t="s">
        <v>99</v>
      </c>
      <c r="AP139" t="s">
        <v>100</v>
      </c>
    </row>
    <row r="140" spans="1:42" x14ac:dyDescent="0.2">
      <c r="A140" s="1" t="s">
        <v>129</v>
      </c>
      <c r="B140" s="1" t="s">
        <v>130</v>
      </c>
      <c r="C140" s="1" t="s">
        <v>131</v>
      </c>
      <c r="D140" s="1" t="s">
        <v>132</v>
      </c>
      <c r="E140" s="6" t="s">
        <v>785</v>
      </c>
      <c r="F140" s="6" t="s">
        <v>785</v>
      </c>
      <c r="G140" s="6">
        <v>694</v>
      </c>
      <c r="H140" s="6">
        <v>289</v>
      </c>
      <c r="I140" s="4" t="s">
        <v>776</v>
      </c>
      <c r="J140" s="4">
        <v>0.45</v>
      </c>
      <c r="K140" s="6"/>
      <c r="L140" s="6"/>
      <c r="M140" s="1" t="s">
        <v>24</v>
      </c>
      <c r="N140" s="1" t="s">
        <v>41</v>
      </c>
      <c r="O140" s="1" t="s">
        <v>780</v>
      </c>
      <c r="P140" s="1" t="s">
        <v>41</v>
      </c>
      <c r="Q140" s="1">
        <v>6</v>
      </c>
      <c r="R140" s="1">
        <v>6</v>
      </c>
      <c r="S140" s="1">
        <v>336</v>
      </c>
      <c r="T140" s="1">
        <v>475</v>
      </c>
      <c r="U140" s="1">
        <f>T140+100</f>
        <v>575</v>
      </c>
      <c r="V140" t="s">
        <v>766</v>
      </c>
      <c r="W140" t="s">
        <v>766</v>
      </c>
      <c r="X140" t="s">
        <v>768</v>
      </c>
      <c r="Y140">
        <v>4</v>
      </c>
      <c r="Z140" s="5">
        <v>32.5</v>
      </c>
      <c r="AA140" s="5">
        <f>Z140/AB140</f>
        <v>0.29013194308057633</v>
      </c>
      <c r="AB140" s="5">
        <v>112.018</v>
      </c>
      <c r="AC140" s="2">
        <v>46038</v>
      </c>
      <c r="AD140" s="2">
        <v>46038</v>
      </c>
      <c r="AE140" s="3">
        <v>0.67526620370370372</v>
      </c>
      <c r="AF140" t="s">
        <v>26</v>
      </c>
      <c r="AG140" t="s">
        <v>91</v>
      </c>
      <c r="AH140" t="s">
        <v>92</v>
      </c>
      <c r="AI140" t="s">
        <v>93</v>
      </c>
      <c r="AJ140" t="s">
        <v>94</v>
      </c>
      <c r="AK140" t="s">
        <v>95</v>
      </c>
      <c r="AL140" t="s">
        <v>96</v>
      </c>
      <c r="AM140" t="s">
        <v>97</v>
      </c>
      <c r="AN140" t="s">
        <v>98</v>
      </c>
      <c r="AO140" t="s">
        <v>99</v>
      </c>
      <c r="AP140" t="s">
        <v>100</v>
      </c>
    </row>
    <row r="141" spans="1:42" x14ac:dyDescent="0.2">
      <c r="A141" s="1" t="s">
        <v>625</v>
      </c>
      <c r="B141" s="1" t="s">
        <v>626</v>
      </c>
      <c r="C141" s="1" t="s">
        <v>627</v>
      </c>
      <c r="D141" s="1" t="s">
        <v>628</v>
      </c>
      <c r="E141" s="6" t="s">
        <v>785</v>
      </c>
      <c r="F141" s="6" t="s">
        <v>785</v>
      </c>
      <c r="G141" s="6">
        <v>1482</v>
      </c>
      <c r="H141" s="6">
        <v>416</v>
      </c>
      <c r="I141" s="4" t="s">
        <v>776</v>
      </c>
      <c r="J141" s="4">
        <v>8.4000000000000005E-2</v>
      </c>
      <c r="K141" s="6"/>
      <c r="L141" s="6"/>
      <c r="M141" s="1" t="s">
        <v>24</v>
      </c>
      <c r="N141" s="1" t="s">
        <v>41</v>
      </c>
      <c r="O141" s="1" t="s">
        <v>780</v>
      </c>
      <c r="P141" s="1" t="s">
        <v>41</v>
      </c>
      <c r="Q141" s="1">
        <v>2</v>
      </c>
      <c r="R141" s="1">
        <v>2</v>
      </c>
      <c r="S141" s="1">
        <v>497</v>
      </c>
      <c r="T141" s="1">
        <v>572</v>
      </c>
      <c r="U141" s="1">
        <f>T141+100</f>
        <v>672</v>
      </c>
      <c r="V141" t="s">
        <v>767</v>
      </c>
      <c r="X141" t="s">
        <v>768</v>
      </c>
      <c r="Y141">
        <v>5</v>
      </c>
      <c r="Z141" s="5">
        <v>32.5</v>
      </c>
      <c r="AA141" s="5">
        <f>Z141/AB141</f>
        <v>0.32171847158978423</v>
      </c>
      <c r="AB141" s="5">
        <v>101.02</v>
      </c>
      <c r="AC141" s="2">
        <v>46038</v>
      </c>
      <c r="AD141" s="2">
        <v>46038</v>
      </c>
      <c r="AE141" s="3">
        <v>0.66493055555555558</v>
      </c>
      <c r="AF141" t="s">
        <v>188</v>
      </c>
      <c r="AG141" t="s">
        <v>91</v>
      </c>
      <c r="AH141" t="s">
        <v>92</v>
      </c>
      <c r="AI141" t="s">
        <v>93</v>
      </c>
      <c r="AJ141" t="s">
        <v>94</v>
      </c>
      <c r="AK141" t="s">
        <v>95</v>
      </c>
      <c r="AL141" t="s">
        <v>96</v>
      </c>
      <c r="AM141" t="s">
        <v>97</v>
      </c>
      <c r="AN141" t="s">
        <v>98</v>
      </c>
      <c r="AO141" t="s">
        <v>99</v>
      </c>
      <c r="AP141" t="s">
        <v>100</v>
      </c>
    </row>
    <row r="142" spans="1:42" x14ac:dyDescent="0.2">
      <c r="A142" s="1" t="s">
        <v>633</v>
      </c>
      <c r="B142" s="1" t="s">
        <v>634</v>
      </c>
      <c r="C142" s="1" t="s">
        <v>635</v>
      </c>
      <c r="D142" s="1" t="s">
        <v>636</v>
      </c>
      <c r="E142" s="6" t="s">
        <v>785</v>
      </c>
      <c r="F142" s="6" t="s">
        <v>785</v>
      </c>
      <c r="G142" s="6">
        <v>1482</v>
      </c>
      <c r="H142" s="6">
        <v>416</v>
      </c>
      <c r="I142" s="4" t="s">
        <v>776</v>
      </c>
      <c r="J142" s="4">
        <v>0.129</v>
      </c>
      <c r="K142" s="6"/>
      <c r="L142" s="6"/>
      <c r="M142" s="1" t="s">
        <v>24</v>
      </c>
      <c r="N142" s="1" t="s">
        <v>41</v>
      </c>
      <c r="O142" s="1" t="s">
        <v>780</v>
      </c>
      <c r="P142" s="1" t="s">
        <v>41</v>
      </c>
      <c r="Q142" s="1">
        <v>2</v>
      </c>
      <c r="R142" s="1">
        <v>2</v>
      </c>
      <c r="S142" s="1">
        <v>516</v>
      </c>
      <c r="T142" s="1">
        <v>537</v>
      </c>
      <c r="U142" s="1">
        <f>T142+100</f>
        <v>637</v>
      </c>
      <c r="V142" t="s">
        <v>767</v>
      </c>
      <c r="X142" t="s">
        <v>768</v>
      </c>
      <c r="Y142">
        <v>5</v>
      </c>
      <c r="Z142" s="5">
        <v>32.5</v>
      </c>
      <c r="AA142" s="5">
        <f>Z142/AB142</f>
        <v>0.32171847158978423</v>
      </c>
      <c r="AB142" s="5">
        <v>101.02</v>
      </c>
      <c r="AC142" s="2">
        <v>46038</v>
      </c>
      <c r="AD142" s="2">
        <v>46038</v>
      </c>
      <c r="AE142" s="3">
        <v>0.66511574074074076</v>
      </c>
      <c r="AF142" t="s">
        <v>188</v>
      </c>
      <c r="AG142" t="s">
        <v>91</v>
      </c>
      <c r="AH142" t="s">
        <v>92</v>
      </c>
      <c r="AI142" t="s">
        <v>93</v>
      </c>
      <c r="AJ142" t="s">
        <v>94</v>
      </c>
      <c r="AK142" t="s">
        <v>95</v>
      </c>
      <c r="AL142" t="s">
        <v>96</v>
      </c>
      <c r="AM142" t="s">
        <v>97</v>
      </c>
      <c r="AN142" t="s">
        <v>98</v>
      </c>
      <c r="AO142" t="s">
        <v>99</v>
      </c>
      <c r="AP142" t="s">
        <v>100</v>
      </c>
    </row>
    <row r="143" spans="1:42" x14ac:dyDescent="0.2">
      <c r="A143" s="1" t="s">
        <v>637</v>
      </c>
      <c r="B143" s="1" t="s">
        <v>638</v>
      </c>
      <c r="C143" s="1" t="s">
        <v>639</v>
      </c>
      <c r="D143" s="1" t="s">
        <v>640</v>
      </c>
      <c r="E143" s="6" t="s">
        <v>785</v>
      </c>
      <c r="F143" s="6" t="s">
        <v>785</v>
      </c>
      <c r="G143" s="6">
        <v>1482</v>
      </c>
      <c r="H143" s="6">
        <v>416</v>
      </c>
      <c r="I143" s="4" t="s">
        <v>776</v>
      </c>
      <c r="J143" s="4">
        <v>0.13</v>
      </c>
      <c r="K143" s="6"/>
      <c r="L143" s="6"/>
      <c r="M143" s="1" t="s">
        <v>24</v>
      </c>
      <c r="N143" s="1" t="s">
        <v>41</v>
      </c>
      <c r="O143" s="1" t="s">
        <v>780</v>
      </c>
      <c r="P143" s="1" t="s">
        <v>41</v>
      </c>
      <c r="Q143" s="1">
        <v>2</v>
      </c>
      <c r="R143" s="1">
        <v>2</v>
      </c>
      <c r="S143" s="1">
        <v>445</v>
      </c>
      <c r="T143" s="1">
        <v>518</v>
      </c>
      <c r="U143" s="1">
        <f>T143+100</f>
        <v>618</v>
      </c>
      <c r="V143" t="s">
        <v>767</v>
      </c>
      <c r="X143" t="s">
        <v>768</v>
      </c>
      <c r="Y143">
        <v>5</v>
      </c>
      <c r="Z143" s="5">
        <v>32.5</v>
      </c>
      <c r="AA143" s="5">
        <f>Z143/AB143</f>
        <v>0.32171847158978423</v>
      </c>
      <c r="AB143" s="5">
        <v>101.02</v>
      </c>
      <c r="AC143" s="2">
        <v>46038</v>
      </c>
      <c r="AD143" s="2">
        <v>46038</v>
      </c>
      <c r="AE143" s="3">
        <v>0.66538194444444443</v>
      </c>
      <c r="AF143" t="s">
        <v>188</v>
      </c>
      <c r="AG143" t="s">
        <v>91</v>
      </c>
      <c r="AH143" t="s">
        <v>92</v>
      </c>
      <c r="AI143" t="s">
        <v>93</v>
      </c>
      <c r="AJ143" t="s">
        <v>94</v>
      </c>
      <c r="AK143" t="s">
        <v>95</v>
      </c>
      <c r="AL143" t="s">
        <v>96</v>
      </c>
      <c r="AM143" t="s">
        <v>97</v>
      </c>
      <c r="AN143" t="s">
        <v>98</v>
      </c>
      <c r="AO143" t="s">
        <v>99</v>
      </c>
      <c r="AP143" t="s">
        <v>100</v>
      </c>
    </row>
    <row r="144" spans="1:42" x14ac:dyDescent="0.2">
      <c r="A144" s="1" t="s">
        <v>641</v>
      </c>
      <c r="B144" s="1" t="s">
        <v>642</v>
      </c>
      <c r="C144" s="1" t="s">
        <v>643</v>
      </c>
      <c r="D144" s="1" t="s">
        <v>644</v>
      </c>
      <c r="E144" s="6" t="s">
        <v>785</v>
      </c>
      <c r="F144" s="6" t="s">
        <v>785</v>
      </c>
      <c r="G144" s="6">
        <v>1482</v>
      </c>
      <c r="H144" s="6">
        <v>416</v>
      </c>
      <c r="I144" s="4" t="s">
        <v>776</v>
      </c>
      <c r="J144" s="4">
        <v>0.41099999999999998</v>
      </c>
      <c r="K144" s="6"/>
      <c r="L144" s="6"/>
      <c r="M144" s="1" t="s">
        <v>24</v>
      </c>
      <c r="N144" s="1" t="s">
        <v>41</v>
      </c>
      <c r="O144" s="1" t="s">
        <v>780</v>
      </c>
      <c r="P144" s="1" t="s">
        <v>41</v>
      </c>
      <c r="Q144" s="1">
        <v>2</v>
      </c>
      <c r="R144" s="1">
        <v>2</v>
      </c>
      <c r="S144" s="1">
        <v>524</v>
      </c>
      <c r="T144" s="1">
        <v>623</v>
      </c>
      <c r="U144" s="1">
        <f>T144+100</f>
        <v>723</v>
      </c>
      <c r="V144" t="s">
        <v>767</v>
      </c>
      <c r="X144" t="s">
        <v>768</v>
      </c>
      <c r="Y144">
        <v>5</v>
      </c>
      <c r="Z144" s="5">
        <v>32.5</v>
      </c>
      <c r="AA144" s="5">
        <f>Z144/AB144</f>
        <v>0.32171847158978423</v>
      </c>
      <c r="AB144" s="5">
        <v>101.02</v>
      </c>
      <c r="AC144" s="2">
        <v>46038</v>
      </c>
      <c r="AD144" s="2">
        <v>46038</v>
      </c>
      <c r="AE144" s="3">
        <v>0.66559027777777779</v>
      </c>
      <c r="AF144" t="s">
        <v>188</v>
      </c>
      <c r="AG144" t="s">
        <v>91</v>
      </c>
      <c r="AH144" t="s">
        <v>92</v>
      </c>
      <c r="AI144" t="s">
        <v>93</v>
      </c>
      <c r="AJ144" t="s">
        <v>94</v>
      </c>
      <c r="AK144" t="s">
        <v>95</v>
      </c>
      <c r="AL144" t="s">
        <v>96</v>
      </c>
      <c r="AM144" t="s">
        <v>97</v>
      </c>
      <c r="AN144" t="s">
        <v>98</v>
      </c>
      <c r="AO144" t="s">
        <v>99</v>
      </c>
      <c r="AP144" t="s">
        <v>100</v>
      </c>
    </row>
    <row r="145" spans="1:42" x14ac:dyDescent="0.2">
      <c r="A145" s="1" t="s">
        <v>645</v>
      </c>
      <c r="B145" s="1" t="s">
        <v>646</v>
      </c>
      <c r="C145" s="1" t="s">
        <v>647</v>
      </c>
      <c r="D145" s="1" t="s">
        <v>648</v>
      </c>
      <c r="E145" s="6" t="s">
        <v>785</v>
      </c>
      <c r="F145" s="6" t="s">
        <v>785</v>
      </c>
      <c r="G145" s="6">
        <v>1482</v>
      </c>
      <c r="H145" s="6">
        <v>416</v>
      </c>
      <c r="I145" s="4" t="s">
        <v>776</v>
      </c>
      <c r="J145" s="4">
        <v>0.19</v>
      </c>
      <c r="K145" s="6"/>
      <c r="L145" s="6"/>
      <c r="M145" s="1" t="s">
        <v>24</v>
      </c>
      <c r="N145" s="1" t="s">
        <v>41</v>
      </c>
      <c r="O145" s="1" t="s">
        <v>780</v>
      </c>
      <c r="P145" s="1" t="s">
        <v>41</v>
      </c>
      <c r="Q145" s="1">
        <v>2</v>
      </c>
      <c r="R145" s="1">
        <v>2</v>
      </c>
      <c r="S145" s="1">
        <v>411</v>
      </c>
      <c r="T145" s="1">
        <v>504</v>
      </c>
      <c r="U145" s="1">
        <f>T145+100</f>
        <v>604</v>
      </c>
      <c r="V145" t="s">
        <v>767</v>
      </c>
      <c r="X145" t="s">
        <v>768</v>
      </c>
      <c r="Y145">
        <v>5</v>
      </c>
      <c r="Z145" s="5">
        <v>32.5</v>
      </c>
      <c r="AA145" s="5">
        <f>Z145/AB145</f>
        <v>0.32171847158978423</v>
      </c>
      <c r="AB145" s="5">
        <v>101.02</v>
      </c>
      <c r="AC145" s="2">
        <v>46038</v>
      </c>
      <c r="AD145" s="2">
        <v>46038</v>
      </c>
      <c r="AE145" s="3">
        <v>0.66574074074074074</v>
      </c>
      <c r="AF145" t="s">
        <v>188</v>
      </c>
      <c r="AG145" t="s">
        <v>91</v>
      </c>
      <c r="AH145" t="s">
        <v>92</v>
      </c>
      <c r="AI145" t="s">
        <v>93</v>
      </c>
      <c r="AJ145" t="s">
        <v>94</v>
      </c>
      <c r="AK145" t="s">
        <v>95</v>
      </c>
      <c r="AL145" t="s">
        <v>96</v>
      </c>
      <c r="AM145" t="s">
        <v>97</v>
      </c>
      <c r="AN145" t="s">
        <v>98</v>
      </c>
      <c r="AO145" t="s">
        <v>99</v>
      </c>
      <c r="AP145" t="s">
        <v>100</v>
      </c>
    </row>
    <row r="146" spans="1:42" x14ac:dyDescent="0.2">
      <c r="A146" s="1" t="s">
        <v>649</v>
      </c>
      <c r="B146" s="1" t="s">
        <v>650</v>
      </c>
      <c r="C146" s="1" t="s">
        <v>651</v>
      </c>
      <c r="D146" s="1" t="s">
        <v>652</v>
      </c>
      <c r="E146" s="6" t="s">
        <v>785</v>
      </c>
      <c r="F146" s="6" t="s">
        <v>785</v>
      </c>
      <c r="G146" s="6">
        <v>1482</v>
      </c>
      <c r="H146" s="6">
        <v>416</v>
      </c>
      <c r="I146" s="4" t="s">
        <v>776</v>
      </c>
      <c r="J146" s="4">
        <v>8.4000000000000005E-2</v>
      </c>
      <c r="K146" s="6"/>
      <c r="L146" s="6"/>
      <c r="M146" s="1" t="s">
        <v>24</v>
      </c>
      <c r="N146" s="1" t="s">
        <v>41</v>
      </c>
      <c r="O146" s="1" t="s">
        <v>780</v>
      </c>
      <c r="P146" s="1" t="s">
        <v>41</v>
      </c>
      <c r="Q146" s="1">
        <v>2</v>
      </c>
      <c r="R146" s="1">
        <v>2</v>
      </c>
      <c r="S146" s="1">
        <v>517</v>
      </c>
      <c r="T146" s="1">
        <v>540</v>
      </c>
      <c r="U146" s="1">
        <f>T146+100</f>
        <v>640</v>
      </c>
      <c r="V146" t="s">
        <v>767</v>
      </c>
      <c r="X146" t="s">
        <v>768</v>
      </c>
      <c r="Y146">
        <v>5</v>
      </c>
      <c r="Z146" s="5">
        <v>32.5</v>
      </c>
      <c r="AA146" s="5">
        <f>Z146/AB146</f>
        <v>0.32171847158978423</v>
      </c>
      <c r="AB146" s="5">
        <v>101.02</v>
      </c>
      <c r="AC146" s="2">
        <v>46038</v>
      </c>
      <c r="AD146" s="2">
        <v>46038</v>
      </c>
      <c r="AE146" s="3">
        <v>0.6658680555555555</v>
      </c>
      <c r="AF146" t="s">
        <v>188</v>
      </c>
      <c r="AG146" t="s">
        <v>91</v>
      </c>
      <c r="AH146" t="s">
        <v>92</v>
      </c>
      <c r="AI146" t="s">
        <v>93</v>
      </c>
      <c r="AJ146" t="s">
        <v>94</v>
      </c>
      <c r="AK146" t="s">
        <v>95</v>
      </c>
      <c r="AL146" t="s">
        <v>96</v>
      </c>
      <c r="AM146" t="s">
        <v>97</v>
      </c>
      <c r="AN146" t="s">
        <v>98</v>
      </c>
      <c r="AO146" t="s">
        <v>99</v>
      </c>
      <c r="AP146" t="s">
        <v>100</v>
      </c>
    </row>
    <row r="147" spans="1:42" x14ac:dyDescent="0.2">
      <c r="A147" s="1" t="s">
        <v>653</v>
      </c>
      <c r="B147" s="1" t="s">
        <v>654</v>
      </c>
      <c r="C147" s="1" t="s">
        <v>655</v>
      </c>
      <c r="D147" s="1" t="s">
        <v>656</v>
      </c>
      <c r="E147" s="6" t="s">
        <v>785</v>
      </c>
      <c r="F147" s="6" t="s">
        <v>785</v>
      </c>
      <c r="G147" s="6">
        <v>1482</v>
      </c>
      <c r="H147" s="6">
        <v>416</v>
      </c>
      <c r="I147" s="4" t="s">
        <v>776</v>
      </c>
      <c r="J147" s="4">
        <v>0.107</v>
      </c>
      <c r="K147" s="6"/>
      <c r="L147" s="6"/>
      <c r="M147" s="1" t="s">
        <v>24</v>
      </c>
      <c r="N147" s="1" t="s">
        <v>41</v>
      </c>
      <c r="O147" s="1" t="s">
        <v>780</v>
      </c>
      <c r="P147" s="1" t="s">
        <v>41</v>
      </c>
      <c r="Q147" s="1">
        <v>2</v>
      </c>
      <c r="R147" s="1">
        <v>2</v>
      </c>
      <c r="S147" s="1">
        <v>669</v>
      </c>
      <c r="T147" s="1">
        <v>708</v>
      </c>
      <c r="U147" s="1">
        <f>T147+100</f>
        <v>808</v>
      </c>
      <c r="V147" t="s">
        <v>767</v>
      </c>
      <c r="X147" t="s">
        <v>768</v>
      </c>
      <c r="Y147">
        <v>5</v>
      </c>
      <c r="Z147" s="5">
        <v>32.5</v>
      </c>
      <c r="AA147" s="5">
        <f>Z147/AB147</f>
        <v>0.32171847158978423</v>
      </c>
      <c r="AB147" s="5">
        <v>101.02</v>
      </c>
      <c r="AC147" s="2">
        <v>46038</v>
      </c>
      <c r="AD147" s="2">
        <v>46038</v>
      </c>
      <c r="AE147" s="3">
        <v>0.66619212962962959</v>
      </c>
      <c r="AF147" t="s">
        <v>188</v>
      </c>
      <c r="AG147" t="s">
        <v>91</v>
      </c>
      <c r="AH147" t="s">
        <v>92</v>
      </c>
      <c r="AI147" t="s">
        <v>93</v>
      </c>
      <c r="AJ147" t="s">
        <v>94</v>
      </c>
      <c r="AK147" t="s">
        <v>95</v>
      </c>
      <c r="AL147" t="s">
        <v>96</v>
      </c>
      <c r="AM147" t="s">
        <v>97</v>
      </c>
      <c r="AN147" t="s">
        <v>98</v>
      </c>
      <c r="AO147" t="s">
        <v>99</v>
      </c>
      <c r="AP147" t="s">
        <v>100</v>
      </c>
    </row>
    <row r="148" spans="1:42" x14ac:dyDescent="0.2">
      <c r="A148" s="1" t="s">
        <v>657</v>
      </c>
      <c r="B148" s="1" t="s">
        <v>658</v>
      </c>
      <c r="C148" s="1" t="s">
        <v>659</v>
      </c>
      <c r="D148" s="1" t="s">
        <v>660</v>
      </c>
      <c r="E148" s="6" t="s">
        <v>785</v>
      </c>
      <c r="F148" s="6" t="s">
        <v>785</v>
      </c>
      <c r="G148" s="6">
        <v>1482</v>
      </c>
      <c r="H148" s="6">
        <v>416</v>
      </c>
      <c r="I148" s="4" t="s">
        <v>776</v>
      </c>
      <c r="J148" s="4">
        <v>6.8000000000000005E-2</v>
      </c>
      <c r="K148" s="6"/>
      <c r="L148" s="6"/>
      <c r="M148" s="1" t="s">
        <v>24</v>
      </c>
      <c r="N148" s="1" t="s">
        <v>41</v>
      </c>
      <c r="O148" s="1" t="s">
        <v>780</v>
      </c>
      <c r="P148" s="1" t="s">
        <v>41</v>
      </c>
      <c r="Q148" s="1">
        <v>2</v>
      </c>
      <c r="R148" s="1">
        <v>2</v>
      </c>
      <c r="S148" s="1">
        <v>543</v>
      </c>
      <c r="T148" s="1">
        <v>580</v>
      </c>
      <c r="U148" s="1">
        <f>T148+100</f>
        <v>680</v>
      </c>
      <c r="V148" t="s">
        <v>767</v>
      </c>
      <c r="X148" t="s">
        <v>768</v>
      </c>
      <c r="Y148">
        <v>5</v>
      </c>
      <c r="Z148" s="5">
        <v>32.5</v>
      </c>
      <c r="AA148" s="5">
        <f>Z148/AB148</f>
        <v>0.32171847158978423</v>
      </c>
      <c r="AB148" s="5">
        <v>101.02</v>
      </c>
      <c r="AC148" s="2">
        <v>46038</v>
      </c>
      <c r="AD148" s="2">
        <v>46038</v>
      </c>
      <c r="AE148" s="3">
        <v>0.66636574074074073</v>
      </c>
      <c r="AF148" t="s">
        <v>188</v>
      </c>
      <c r="AG148" t="s">
        <v>91</v>
      </c>
      <c r="AH148" t="s">
        <v>92</v>
      </c>
      <c r="AI148" t="s">
        <v>93</v>
      </c>
      <c r="AJ148" t="s">
        <v>94</v>
      </c>
      <c r="AK148" t="s">
        <v>95</v>
      </c>
      <c r="AL148" t="s">
        <v>96</v>
      </c>
      <c r="AM148" t="s">
        <v>97</v>
      </c>
      <c r="AN148" t="s">
        <v>98</v>
      </c>
      <c r="AO148" t="s">
        <v>99</v>
      </c>
      <c r="AP148" t="s">
        <v>100</v>
      </c>
    </row>
    <row r="149" spans="1:42" x14ac:dyDescent="0.2">
      <c r="A149" s="1" t="s">
        <v>661</v>
      </c>
      <c r="B149" s="1" t="s">
        <v>662</v>
      </c>
      <c r="C149" s="1" t="s">
        <v>663</v>
      </c>
      <c r="D149" s="1" t="s">
        <v>664</v>
      </c>
      <c r="E149" s="6" t="s">
        <v>785</v>
      </c>
      <c r="F149" s="6" t="s">
        <v>785</v>
      </c>
      <c r="G149" s="6">
        <v>1482</v>
      </c>
      <c r="H149" s="6">
        <v>416</v>
      </c>
      <c r="I149" s="4" t="s">
        <v>776</v>
      </c>
      <c r="J149" s="4">
        <v>0.15</v>
      </c>
      <c r="K149" s="6"/>
      <c r="L149" s="6"/>
      <c r="M149" s="1" t="s">
        <v>24</v>
      </c>
      <c r="N149" s="1" t="s">
        <v>41</v>
      </c>
      <c r="O149" s="1" t="s">
        <v>780</v>
      </c>
      <c r="P149" s="1" t="s">
        <v>41</v>
      </c>
      <c r="Q149" s="1">
        <v>2</v>
      </c>
      <c r="R149" s="1">
        <v>2</v>
      </c>
      <c r="S149" s="1">
        <v>589</v>
      </c>
      <c r="T149" s="1">
        <v>771</v>
      </c>
      <c r="U149" s="1">
        <f>T149+100</f>
        <v>871</v>
      </c>
      <c r="V149" t="s">
        <v>767</v>
      </c>
      <c r="X149" t="s">
        <v>768</v>
      </c>
      <c r="Y149">
        <v>5</v>
      </c>
      <c r="Z149" s="5">
        <v>32.5</v>
      </c>
      <c r="AA149" s="5">
        <f>Z149/AB149</f>
        <v>0.32171847158978423</v>
      </c>
      <c r="AB149" s="5">
        <v>101.02</v>
      </c>
      <c r="AC149" s="2">
        <v>46038</v>
      </c>
      <c r="AD149" s="2">
        <v>46038</v>
      </c>
      <c r="AE149" s="3">
        <v>0.66700231481481487</v>
      </c>
      <c r="AF149" t="s">
        <v>188</v>
      </c>
      <c r="AG149" t="s">
        <v>91</v>
      </c>
      <c r="AH149" t="s">
        <v>92</v>
      </c>
      <c r="AI149" t="s">
        <v>93</v>
      </c>
      <c r="AJ149" t="s">
        <v>94</v>
      </c>
      <c r="AK149" t="s">
        <v>95</v>
      </c>
      <c r="AL149" t="s">
        <v>96</v>
      </c>
      <c r="AM149" t="s">
        <v>97</v>
      </c>
      <c r="AN149" t="s">
        <v>98</v>
      </c>
      <c r="AO149" t="s">
        <v>99</v>
      </c>
      <c r="AP149" t="s">
        <v>100</v>
      </c>
    </row>
    <row r="150" spans="1:42" x14ac:dyDescent="0.2">
      <c r="A150" s="1" t="s">
        <v>665</v>
      </c>
      <c r="B150" s="1" t="s">
        <v>666</v>
      </c>
      <c r="C150" s="1" t="s">
        <v>667</v>
      </c>
      <c r="D150" s="1" t="s">
        <v>668</v>
      </c>
      <c r="E150" s="6" t="s">
        <v>785</v>
      </c>
      <c r="F150" s="6" t="s">
        <v>785</v>
      </c>
      <c r="G150" s="6">
        <v>1482</v>
      </c>
      <c r="H150" s="6">
        <v>416</v>
      </c>
      <c r="I150" s="4" t="s">
        <v>776</v>
      </c>
      <c r="J150" s="4">
        <v>0.248</v>
      </c>
      <c r="K150" s="6"/>
      <c r="L150" s="6"/>
      <c r="M150" s="1" t="s">
        <v>24</v>
      </c>
      <c r="N150" s="1" t="s">
        <v>41</v>
      </c>
      <c r="O150" s="1" t="s">
        <v>780</v>
      </c>
      <c r="P150" s="1" t="s">
        <v>41</v>
      </c>
      <c r="Q150" s="1">
        <v>2</v>
      </c>
      <c r="R150" s="1">
        <v>2</v>
      </c>
      <c r="S150" s="1">
        <v>804</v>
      </c>
      <c r="T150" s="1">
        <v>836</v>
      </c>
      <c r="U150" s="1">
        <f>T150+100</f>
        <v>936</v>
      </c>
      <c r="V150" t="s">
        <v>767</v>
      </c>
      <c r="X150" t="s">
        <v>768</v>
      </c>
      <c r="Y150">
        <v>5</v>
      </c>
      <c r="Z150" s="5">
        <v>32.5</v>
      </c>
      <c r="AA150" s="5">
        <f>Z150/AB150</f>
        <v>0.32171847158978423</v>
      </c>
      <c r="AB150" s="5">
        <v>101.02</v>
      </c>
      <c r="AC150" s="2">
        <v>46038</v>
      </c>
      <c r="AD150" s="2">
        <v>46038</v>
      </c>
      <c r="AE150" s="3">
        <v>0.66736111111111107</v>
      </c>
      <c r="AF150" t="s">
        <v>188</v>
      </c>
      <c r="AG150" t="s">
        <v>91</v>
      </c>
      <c r="AH150" t="s">
        <v>92</v>
      </c>
      <c r="AI150" t="s">
        <v>93</v>
      </c>
      <c r="AJ150" t="s">
        <v>94</v>
      </c>
      <c r="AK150" t="s">
        <v>95</v>
      </c>
      <c r="AL150" t="s">
        <v>96</v>
      </c>
      <c r="AM150" t="s">
        <v>97</v>
      </c>
      <c r="AN150" t="s">
        <v>98</v>
      </c>
      <c r="AO150" t="s">
        <v>99</v>
      </c>
      <c r="AP150" t="s">
        <v>100</v>
      </c>
    </row>
    <row r="151" spans="1:42" x14ac:dyDescent="0.2">
      <c r="A151" s="1" t="s">
        <v>669</v>
      </c>
      <c r="B151" s="1" t="s">
        <v>670</v>
      </c>
      <c r="C151" s="1" t="s">
        <v>671</v>
      </c>
      <c r="D151" s="1" t="s">
        <v>672</v>
      </c>
      <c r="E151" s="6" t="s">
        <v>785</v>
      </c>
      <c r="F151" s="6" t="s">
        <v>785</v>
      </c>
      <c r="G151" s="6">
        <v>1482</v>
      </c>
      <c r="H151" s="6">
        <v>416</v>
      </c>
      <c r="I151" s="4" t="s">
        <v>776</v>
      </c>
      <c r="J151" s="4">
        <v>8.4000000000000005E-2</v>
      </c>
      <c r="K151" s="6"/>
      <c r="L151" s="6"/>
      <c r="M151" s="1" t="s">
        <v>24</v>
      </c>
      <c r="N151" s="1" t="s">
        <v>41</v>
      </c>
      <c r="O151" s="1" t="s">
        <v>780</v>
      </c>
      <c r="P151" s="1" t="s">
        <v>41</v>
      </c>
      <c r="Q151" s="1">
        <v>2</v>
      </c>
      <c r="R151" s="1">
        <v>2</v>
      </c>
      <c r="S151" s="1">
        <v>592</v>
      </c>
      <c r="T151" s="1">
        <v>615</v>
      </c>
      <c r="U151" s="1">
        <f>T151+100</f>
        <v>715</v>
      </c>
      <c r="V151" t="s">
        <v>767</v>
      </c>
      <c r="X151" t="s">
        <v>768</v>
      </c>
      <c r="Y151">
        <v>5</v>
      </c>
      <c r="Z151" s="5">
        <v>32.5</v>
      </c>
      <c r="AA151" s="5">
        <f>Z151/AB151</f>
        <v>0.32171847158978423</v>
      </c>
      <c r="AB151" s="5">
        <v>101.02</v>
      </c>
      <c r="AC151" s="2">
        <v>46038</v>
      </c>
      <c r="AD151" s="2">
        <v>46038</v>
      </c>
      <c r="AE151" s="3">
        <v>0.66752314814814817</v>
      </c>
      <c r="AF151" t="s">
        <v>188</v>
      </c>
      <c r="AG151" t="s">
        <v>91</v>
      </c>
      <c r="AH151" t="s">
        <v>92</v>
      </c>
      <c r="AI151" t="s">
        <v>93</v>
      </c>
      <c r="AJ151" t="s">
        <v>94</v>
      </c>
      <c r="AK151" t="s">
        <v>95</v>
      </c>
      <c r="AL151" t="s">
        <v>96</v>
      </c>
      <c r="AM151" t="s">
        <v>97</v>
      </c>
      <c r="AN151" t="s">
        <v>98</v>
      </c>
      <c r="AO151" t="s">
        <v>99</v>
      </c>
      <c r="AP151" t="s">
        <v>100</v>
      </c>
    </row>
    <row r="152" spans="1:42" x14ac:dyDescent="0.2">
      <c r="A152" s="1" t="s">
        <v>673</v>
      </c>
      <c r="B152" s="1" t="s">
        <v>674</v>
      </c>
      <c r="C152" s="1" t="s">
        <v>675</v>
      </c>
      <c r="D152" s="1" t="s">
        <v>676</v>
      </c>
      <c r="E152" s="6" t="s">
        <v>785</v>
      </c>
      <c r="F152" s="6" t="s">
        <v>785</v>
      </c>
      <c r="G152" s="6">
        <v>1482</v>
      </c>
      <c r="H152" s="6">
        <v>416</v>
      </c>
      <c r="I152" s="4" t="s">
        <v>776</v>
      </c>
      <c r="J152" s="4">
        <v>0.09</v>
      </c>
      <c r="K152" s="6"/>
      <c r="L152" s="6"/>
      <c r="M152" s="1" t="s">
        <v>24</v>
      </c>
      <c r="N152" s="1" t="s">
        <v>41</v>
      </c>
      <c r="O152" s="1" t="s">
        <v>780</v>
      </c>
      <c r="P152" s="1" t="s">
        <v>41</v>
      </c>
      <c r="Q152" s="1">
        <v>2</v>
      </c>
      <c r="R152" s="1">
        <v>2</v>
      </c>
      <c r="S152" s="1">
        <v>455</v>
      </c>
      <c r="T152" s="1">
        <v>480</v>
      </c>
      <c r="U152" s="1">
        <f>T152+100</f>
        <v>580</v>
      </c>
      <c r="V152" t="s">
        <v>767</v>
      </c>
      <c r="X152" t="s">
        <v>768</v>
      </c>
      <c r="Y152">
        <v>5</v>
      </c>
      <c r="Z152" s="5">
        <v>32.5</v>
      </c>
      <c r="AA152" s="5">
        <f>Z152/AB152</f>
        <v>0.32171847158978423</v>
      </c>
      <c r="AB152" s="5">
        <v>101.02</v>
      </c>
      <c r="AC152" s="2">
        <v>46038</v>
      </c>
      <c r="AD152" s="2">
        <v>46038</v>
      </c>
      <c r="AE152" s="3">
        <v>0.66762731481481485</v>
      </c>
      <c r="AF152" t="s">
        <v>188</v>
      </c>
      <c r="AG152" t="s">
        <v>91</v>
      </c>
      <c r="AH152" t="s">
        <v>92</v>
      </c>
      <c r="AI152" t="s">
        <v>93</v>
      </c>
      <c r="AJ152" t="s">
        <v>94</v>
      </c>
      <c r="AK152" t="s">
        <v>95</v>
      </c>
      <c r="AL152" t="s">
        <v>96</v>
      </c>
      <c r="AM152" t="s">
        <v>97</v>
      </c>
      <c r="AN152" t="s">
        <v>98</v>
      </c>
      <c r="AO152" t="s">
        <v>99</v>
      </c>
      <c r="AP152" t="s">
        <v>100</v>
      </c>
    </row>
    <row r="153" spans="1:42" x14ac:dyDescent="0.2">
      <c r="A153" s="1" t="s">
        <v>677</v>
      </c>
      <c r="B153" s="1" t="s">
        <v>678</v>
      </c>
      <c r="C153" s="1" t="s">
        <v>679</v>
      </c>
      <c r="D153" s="1" t="s">
        <v>680</v>
      </c>
      <c r="E153" s="6" t="s">
        <v>785</v>
      </c>
      <c r="F153" s="6" t="s">
        <v>785</v>
      </c>
      <c r="G153" s="6">
        <v>1482</v>
      </c>
      <c r="H153" s="6">
        <v>416</v>
      </c>
      <c r="I153" s="4" t="s">
        <v>776</v>
      </c>
      <c r="J153" s="4">
        <v>0.14099999999999999</v>
      </c>
      <c r="K153" s="6"/>
      <c r="L153" s="6"/>
      <c r="M153" s="1" t="s">
        <v>24</v>
      </c>
      <c r="N153" s="1" t="s">
        <v>41</v>
      </c>
      <c r="O153" s="1" t="s">
        <v>780</v>
      </c>
      <c r="P153" s="1" t="s">
        <v>41</v>
      </c>
      <c r="Q153" s="1">
        <v>2</v>
      </c>
      <c r="R153" s="1">
        <v>2</v>
      </c>
      <c r="S153" s="1">
        <v>580</v>
      </c>
      <c r="T153" s="1">
        <v>615</v>
      </c>
      <c r="U153" s="1">
        <f>T153+100</f>
        <v>715</v>
      </c>
      <c r="V153" t="s">
        <v>767</v>
      </c>
      <c r="X153" t="s">
        <v>768</v>
      </c>
      <c r="Y153">
        <v>5</v>
      </c>
      <c r="Z153" s="5">
        <v>32.5</v>
      </c>
      <c r="AA153" s="5">
        <f>Z153/AB153</f>
        <v>0.32171847158978423</v>
      </c>
      <c r="AB153" s="5">
        <v>101.02</v>
      </c>
      <c r="AC153" s="2">
        <v>46038</v>
      </c>
      <c r="AD153" s="2">
        <v>46038</v>
      </c>
      <c r="AE153" s="3">
        <v>0.6677777777777778</v>
      </c>
      <c r="AF153" t="s">
        <v>188</v>
      </c>
      <c r="AG153" t="s">
        <v>91</v>
      </c>
      <c r="AH153" t="s">
        <v>92</v>
      </c>
      <c r="AI153" t="s">
        <v>93</v>
      </c>
      <c r="AJ153" t="s">
        <v>94</v>
      </c>
      <c r="AK153" t="s">
        <v>95</v>
      </c>
      <c r="AL153" t="s">
        <v>96</v>
      </c>
      <c r="AM153" t="s">
        <v>97</v>
      </c>
      <c r="AN153" t="s">
        <v>98</v>
      </c>
      <c r="AO153" t="s">
        <v>99</v>
      </c>
      <c r="AP153" t="s">
        <v>100</v>
      </c>
    </row>
    <row r="154" spans="1:42" x14ac:dyDescent="0.2">
      <c r="A154" s="1" t="s">
        <v>681</v>
      </c>
      <c r="B154" s="1" t="s">
        <v>682</v>
      </c>
      <c r="C154" s="1" t="s">
        <v>683</v>
      </c>
      <c r="D154" s="1" t="s">
        <v>684</v>
      </c>
      <c r="E154" s="6" t="s">
        <v>786</v>
      </c>
      <c r="F154" s="6" t="s">
        <v>786</v>
      </c>
      <c r="G154" s="6">
        <v>1478</v>
      </c>
      <c r="H154" s="6">
        <v>410</v>
      </c>
      <c r="I154" s="4" t="s">
        <v>776</v>
      </c>
      <c r="J154" s="4">
        <v>0.11</v>
      </c>
      <c r="K154" s="6"/>
      <c r="L154" s="6"/>
      <c r="M154" s="1" t="s">
        <v>24</v>
      </c>
      <c r="N154" s="1" t="s">
        <v>41</v>
      </c>
      <c r="O154" s="1" t="s">
        <v>780</v>
      </c>
      <c r="P154" s="1" t="s">
        <v>41</v>
      </c>
      <c r="Q154" s="1">
        <v>2</v>
      </c>
      <c r="R154" s="1">
        <v>2</v>
      </c>
      <c r="S154" s="1">
        <v>445</v>
      </c>
      <c r="T154" s="1">
        <v>481</v>
      </c>
      <c r="U154" s="1">
        <f>T154+100</f>
        <v>581</v>
      </c>
      <c r="V154" t="s">
        <v>767</v>
      </c>
      <c r="X154" t="s">
        <v>768</v>
      </c>
      <c r="Y154">
        <v>5</v>
      </c>
      <c r="Z154" s="5">
        <v>32.5</v>
      </c>
      <c r="AA154" s="5">
        <f>Z154/AB154</f>
        <v>0.32171847158978423</v>
      </c>
      <c r="AB154" s="5">
        <v>101.02</v>
      </c>
      <c r="AC154" s="2">
        <v>46038</v>
      </c>
      <c r="AD154" s="2">
        <v>46038</v>
      </c>
      <c r="AE154" s="3">
        <v>0.66524305555555552</v>
      </c>
      <c r="AF154" t="s">
        <v>188</v>
      </c>
      <c r="AG154" t="s">
        <v>91</v>
      </c>
      <c r="AH154" t="s">
        <v>92</v>
      </c>
      <c r="AI154" t="s">
        <v>93</v>
      </c>
      <c r="AJ154" t="s">
        <v>94</v>
      </c>
      <c r="AK154" t="s">
        <v>95</v>
      </c>
      <c r="AL154" t="s">
        <v>96</v>
      </c>
      <c r="AM154" t="s">
        <v>97</v>
      </c>
      <c r="AN154" t="s">
        <v>98</v>
      </c>
      <c r="AO154" t="s">
        <v>99</v>
      </c>
      <c r="AP154" t="s">
        <v>100</v>
      </c>
    </row>
    <row r="155" spans="1:42" x14ac:dyDescent="0.2">
      <c r="A155" s="1" t="s">
        <v>689</v>
      </c>
      <c r="B155" s="1" t="s">
        <v>690</v>
      </c>
      <c r="C155" s="1" t="s">
        <v>691</v>
      </c>
      <c r="D155" s="1" t="s">
        <v>692</v>
      </c>
      <c r="E155" s="6" t="s">
        <v>786</v>
      </c>
      <c r="F155" s="6" t="s">
        <v>786</v>
      </c>
      <c r="G155" s="6">
        <v>1484</v>
      </c>
      <c r="H155" s="6">
        <v>416</v>
      </c>
      <c r="I155" s="4" t="s">
        <v>776</v>
      </c>
      <c r="J155" s="4">
        <v>5.3999999999999999E-2</v>
      </c>
      <c r="K155" s="6"/>
      <c r="L155" s="6"/>
      <c r="M155" s="1" t="s">
        <v>24</v>
      </c>
      <c r="N155" s="1" t="s">
        <v>25</v>
      </c>
      <c r="O155" s="1" t="s">
        <v>779</v>
      </c>
      <c r="P155" s="1" t="s">
        <v>25</v>
      </c>
      <c r="Q155" s="1">
        <v>3</v>
      </c>
      <c r="R155" s="1">
        <v>3</v>
      </c>
      <c r="S155" s="1">
        <v>458</v>
      </c>
      <c r="T155" s="1">
        <v>533</v>
      </c>
      <c r="U155" s="1">
        <f>T155+100</f>
        <v>633</v>
      </c>
      <c r="V155" t="s">
        <v>767</v>
      </c>
      <c r="X155" t="s">
        <v>768</v>
      </c>
      <c r="Y155">
        <v>5</v>
      </c>
      <c r="Z155" s="5">
        <v>32.5</v>
      </c>
      <c r="AA155" s="5">
        <f>Z155/AB155</f>
        <v>0.32171847158978423</v>
      </c>
      <c r="AB155" s="5">
        <v>101.02</v>
      </c>
      <c r="AC155" s="2">
        <v>46038</v>
      </c>
      <c r="AD155" s="2">
        <v>46038</v>
      </c>
      <c r="AE155" s="3">
        <v>0.64167824074074076</v>
      </c>
      <c r="AF155" t="s">
        <v>188</v>
      </c>
      <c r="AG155" t="s">
        <v>91</v>
      </c>
      <c r="AH155" t="s">
        <v>92</v>
      </c>
      <c r="AI155" t="s">
        <v>93</v>
      </c>
      <c r="AJ155" t="s">
        <v>94</v>
      </c>
      <c r="AK155" t="s">
        <v>95</v>
      </c>
      <c r="AL155" t="s">
        <v>96</v>
      </c>
      <c r="AM155" t="s">
        <v>97</v>
      </c>
      <c r="AN155" t="s">
        <v>98</v>
      </c>
      <c r="AO155" t="s">
        <v>99</v>
      </c>
      <c r="AP155" t="s">
        <v>100</v>
      </c>
    </row>
    <row r="156" spans="1:42" x14ac:dyDescent="0.2">
      <c r="A156" s="1" t="s">
        <v>693</v>
      </c>
      <c r="B156" s="1" t="s">
        <v>694</v>
      </c>
      <c r="C156" s="1" t="s">
        <v>695</v>
      </c>
      <c r="D156" s="1" t="s">
        <v>696</v>
      </c>
      <c r="E156" s="6" t="s">
        <v>786</v>
      </c>
      <c r="F156" s="6" t="s">
        <v>786</v>
      </c>
      <c r="G156" s="6">
        <v>1484</v>
      </c>
      <c r="H156" s="6">
        <v>416</v>
      </c>
      <c r="I156" s="4" t="s">
        <v>776</v>
      </c>
      <c r="J156" s="4">
        <v>9.8000000000000004E-2</v>
      </c>
      <c r="K156" s="6"/>
      <c r="L156" s="6"/>
      <c r="M156" s="1" t="s">
        <v>24</v>
      </c>
      <c r="N156" s="1" t="s">
        <v>25</v>
      </c>
      <c r="O156" s="1" t="s">
        <v>779</v>
      </c>
      <c r="P156" s="1" t="s">
        <v>25</v>
      </c>
      <c r="Q156" s="1">
        <v>3</v>
      </c>
      <c r="R156" s="1">
        <v>3</v>
      </c>
      <c r="S156" s="1">
        <v>6</v>
      </c>
      <c r="T156" s="1">
        <v>366</v>
      </c>
      <c r="U156" s="1">
        <f>T156+100</f>
        <v>466</v>
      </c>
      <c r="V156" t="s">
        <v>767</v>
      </c>
      <c r="X156" t="s">
        <v>768</v>
      </c>
      <c r="Y156">
        <v>5</v>
      </c>
      <c r="Z156" s="5">
        <v>32.5</v>
      </c>
      <c r="AA156" s="5">
        <f>Z156/AB156</f>
        <v>0.32171847158978423</v>
      </c>
      <c r="AB156" s="5">
        <v>101.02</v>
      </c>
      <c r="AC156" s="2">
        <v>46038</v>
      </c>
      <c r="AD156" s="2">
        <v>46038</v>
      </c>
      <c r="AE156" s="3">
        <v>0.64192129629629635</v>
      </c>
      <c r="AF156" t="s">
        <v>188</v>
      </c>
      <c r="AG156" t="s">
        <v>91</v>
      </c>
      <c r="AH156" t="s">
        <v>92</v>
      </c>
      <c r="AI156" t="s">
        <v>93</v>
      </c>
      <c r="AJ156" t="s">
        <v>94</v>
      </c>
      <c r="AK156" t="s">
        <v>95</v>
      </c>
      <c r="AL156" t="s">
        <v>96</v>
      </c>
      <c r="AM156" t="s">
        <v>97</v>
      </c>
      <c r="AN156" t="s">
        <v>98</v>
      </c>
      <c r="AO156" t="s">
        <v>99</v>
      </c>
      <c r="AP156" t="s">
        <v>100</v>
      </c>
    </row>
    <row r="157" spans="1:42" x14ac:dyDescent="0.2">
      <c r="A157" s="1" t="s">
        <v>697</v>
      </c>
      <c r="B157" s="1" t="s">
        <v>698</v>
      </c>
      <c r="C157" s="1" t="s">
        <v>699</v>
      </c>
      <c r="D157" s="1" t="s">
        <v>700</v>
      </c>
      <c r="E157" s="6" t="s">
        <v>785</v>
      </c>
      <c r="F157" s="6" t="s">
        <v>785</v>
      </c>
      <c r="G157" s="6">
        <v>1484</v>
      </c>
      <c r="H157" s="6">
        <v>416</v>
      </c>
      <c r="I157" s="4" t="s">
        <v>776</v>
      </c>
      <c r="J157" s="4">
        <v>0.188</v>
      </c>
      <c r="K157" s="6"/>
      <c r="L157" s="6"/>
      <c r="M157" s="1" t="s">
        <v>24</v>
      </c>
      <c r="N157" s="1" t="s">
        <v>25</v>
      </c>
      <c r="O157" s="1" t="s">
        <v>779</v>
      </c>
      <c r="P157" s="1" t="s">
        <v>25</v>
      </c>
      <c r="Q157" s="1">
        <v>3</v>
      </c>
      <c r="R157" s="1">
        <v>3</v>
      </c>
      <c r="S157" s="1">
        <v>385</v>
      </c>
      <c r="T157" s="1">
        <v>556</v>
      </c>
      <c r="U157" s="1">
        <f>T157+100</f>
        <v>656</v>
      </c>
      <c r="V157" t="s">
        <v>767</v>
      </c>
      <c r="X157" t="s">
        <v>768</v>
      </c>
      <c r="Y157">
        <v>5</v>
      </c>
      <c r="Z157" s="5">
        <v>32.5</v>
      </c>
      <c r="AA157" s="5">
        <f>Z157/AB157</f>
        <v>0.32171847158978423</v>
      </c>
      <c r="AB157" s="5">
        <v>101.02</v>
      </c>
      <c r="AC157" s="2">
        <v>46038</v>
      </c>
      <c r="AD157" s="2">
        <v>46038</v>
      </c>
      <c r="AE157" s="3">
        <v>0.64322916666666663</v>
      </c>
      <c r="AF157" t="s">
        <v>188</v>
      </c>
      <c r="AG157" t="s">
        <v>91</v>
      </c>
      <c r="AH157" t="s">
        <v>92</v>
      </c>
      <c r="AI157" t="s">
        <v>93</v>
      </c>
      <c r="AJ157" t="s">
        <v>94</v>
      </c>
      <c r="AK157" t="s">
        <v>95</v>
      </c>
      <c r="AL157" t="s">
        <v>96</v>
      </c>
      <c r="AM157" t="s">
        <v>97</v>
      </c>
      <c r="AN157" t="s">
        <v>98</v>
      </c>
      <c r="AO157" t="s">
        <v>99</v>
      </c>
      <c r="AP157" t="s">
        <v>100</v>
      </c>
    </row>
    <row r="158" spans="1:42" x14ac:dyDescent="0.2">
      <c r="A158" s="1" t="s">
        <v>701</v>
      </c>
      <c r="B158" s="1" t="s">
        <v>702</v>
      </c>
      <c r="C158" s="1" t="s">
        <v>703</v>
      </c>
      <c r="D158" s="1" t="s">
        <v>704</v>
      </c>
      <c r="E158" s="6" t="s">
        <v>785</v>
      </c>
      <c r="F158" s="6" t="s">
        <v>785</v>
      </c>
      <c r="G158" s="6">
        <v>1484</v>
      </c>
      <c r="H158" s="6">
        <v>416</v>
      </c>
      <c r="I158" s="4" t="s">
        <v>776</v>
      </c>
      <c r="J158" s="4">
        <v>6.8000000000000005E-2</v>
      </c>
      <c r="K158" s="6"/>
      <c r="L158" s="6"/>
      <c r="M158" s="1" t="s">
        <v>24</v>
      </c>
      <c r="N158" s="1" t="s">
        <v>25</v>
      </c>
      <c r="O158" s="1" t="s">
        <v>779</v>
      </c>
      <c r="P158" s="1" t="s">
        <v>25</v>
      </c>
      <c r="Q158" s="1">
        <v>3</v>
      </c>
      <c r="R158" s="1">
        <v>3</v>
      </c>
      <c r="S158" s="1">
        <v>41</v>
      </c>
      <c r="T158" s="1">
        <v>388</v>
      </c>
      <c r="U158" s="1">
        <f>T158+100</f>
        <v>488</v>
      </c>
      <c r="V158" t="s">
        <v>767</v>
      </c>
      <c r="X158" t="s">
        <v>768</v>
      </c>
      <c r="Y158">
        <v>5</v>
      </c>
      <c r="Z158" s="5">
        <v>32.5</v>
      </c>
      <c r="AA158" s="5">
        <f>Z158/AB158</f>
        <v>0.32171847158978423</v>
      </c>
      <c r="AB158" s="5">
        <v>101.02</v>
      </c>
      <c r="AC158" s="2">
        <v>46038</v>
      </c>
      <c r="AD158" s="2">
        <v>46038</v>
      </c>
      <c r="AE158" s="3">
        <v>0.64478009259259261</v>
      </c>
      <c r="AF158" t="s">
        <v>188</v>
      </c>
      <c r="AG158" t="s">
        <v>91</v>
      </c>
      <c r="AH158" t="s">
        <v>92</v>
      </c>
      <c r="AI158" t="s">
        <v>93</v>
      </c>
      <c r="AJ158" t="s">
        <v>94</v>
      </c>
      <c r="AK158" t="s">
        <v>95</v>
      </c>
      <c r="AL158" t="s">
        <v>96</v>
      </c>
      <c r="AM158" t="s">
        <v>97</v>
      </c>
      <c r="AN158" t="s">
        <v>98</v>
      </c>
      <c r="AO158" t="s">
        <v>99</v>
      </c>
      <c r="AP158" t="s">
        <v>100</v>
      </c>
    </row>
    <row r="159" spans="1:42" x14ac:dyDescent="0.2">
      <c r="A159" s="1" t="s">
        <v>705</v>
      </c>
      <c r="B159" s="1" t="s">
        <v>706</v>
      </c>
      <c r="C159" s="1" t="s">
        <v>707</v>
      </c>
      <c r="D159" s="1" t="s">
        <v>708</v>
      </c>
      <c r="E159" s="6" t="s">
        <v>785</v>
      </c>
      <c r="F159" s="6" t="s">
        <v>785</v>
      </c>
      <c r="G159" s="6">
        <v>1484</v>
      </c>
      <c r="H159" s="6">
        <v>416</v>
      </c>
      <c r="I159" s="4" t="s">
        <v>776</v>
      </c>
      <c r="J159" s="4">
        <v>0.10199999999999999</v>
      </c>
      <c r="K159" s="6"/>
      <c r="L159" s="6"/>
      <c r="M159" s="1" t="s">
        <v>24</v>
      </c>
      <c r="N159" s="1" t="s">
        <v>25</v>
      </c>
      <c r="O159" s="1" t="s">
        <v>779</v>
      </c>
      <c r="P159" s="1" t="s">
        <v>25</v>
      </c>
      <c r="Q159" s="1">
        <v>3</v>
      </c>
      <c r="R159" s="1">
        <v>3</v>
      </c>
      <c r="S159" s="1">
        <v>77</v>
      </c>
      <c r="T159" s="1">
        <v>144</v>
      </c>
      <c r="U159" s="1">
        <f>T159+100</f>
        <v>244</v>
      </c>
      <c r="V159" t="s">
        <v>767</v>
      </c>
      <c r="X159" t="s">
        <v>768</v>
      </c>
      <c r="Y159">
        <v>5</v>
      </c>
      <c r="Z159" s="5">
        <v>32.5</v>
      </c>
      <c r="AA159" s="5">
        <f>Z159/AB159</f>
        <v>0.32171847158978423</v>
      </c>
      <c r="AB159" s="5">
        <v>101.02</v>
      </c>
      <c r="AC159" s="2">
        <v>46038</v>
      </c>
      <c r="AD159" s="2">
        <v>46038</v>
      </c>
      <c r="AE159" s="3">
        <v>0.64567129629629627</v>
      </c>
      <c r="AF159" t="s">
        <v>188</v>
      </c>
      <c r="AG159" t="s">
        <v>91</v>
      </c>
      <c r="AH159" t="s">
        <v>92</v>
      </c>
      <c r="AI159" t="s">
        <v>93</v>
      </c>
      <c r="AJ159" t="s">
        <v>94</v>
      </c>
      <c r="AK159" t="s">
        <v>95</v>
      </c>
      <c r="AL159" t="s">
        <v>96</v>
      </c>
      <c r="AM159" t="s">
        <v>97</v>
      </c>
      <c r="AN159" t="s">
        <v>98</v>
      </c>
      <c r="AO159" t="s">
        <v>99</v>
      </c>
      <c r="AP159" t="s">
        <v>100</v>
      </c>
    </row>
    <row r="160" spans="1:42" x14ac:dyDescent="0.2">
      <c r="A160" s="1" t="s">
        <v>709</v>
      </c>
      <c r="B160" s="1" t="s">
        <v>710</v>
      </c>
      <c r="C160" s="1" t="s">
        <v>711</v>
      </c>
      <c r="D160" s="1" t="s">
        <v>712</v>
      </c>
      <c r="E160" s="6" t="s">
        <v>785</v>
      </c>
      <c r="F160" s="6" t="s">
        <v>785</v>
      </c>
      <c r="G160" s="6">
        <v>1484</v>
      </c>
      <c r="H160" s="6">
        <v>416</v>
      </c>
      <c r="I160" s="4" t="s">
        <v>776</v>
      </c>
      <c r="J160" s="4">
        <v>0.14599999999999999</v>
      </c>
      <c r="K160" s="6"/>
      <c r="L160" s="6"/>
      <c r="M160" s="1" t="s">
        <v>24</v>
      </c>
      <c r="N160" s="1" t="s">
        <v>25</v>
      </c>
      <c r="O160" s="1" t="s">
        <v>779</v>
      </c>
      <c r="P160" s="1" t="s">
        <v>25</v>
      </c>
      <c r="Q160" s="1">
        <v>3</v>
      </c>
      <c r="R160" s="1">
        <v>3</v>
      </c>
      <c r="S160" s="1">
        <v>296</v>
      </c>
      <c r="T160" s="1">
        <v>379</v>
      </c>
      <c r="U160" s="1">
        <f>T160+100</f>
        <v>479</v>
      </c>
      <c r="V160" t="s">
        <v>767</v>
      </c>
      <c r="X160" t="s">
        <v>768</v>
      </c>
      <c r="Y160">
        <v>5</v>
      </c>
      <c r="Z160" s="5">
        <v>32.5</v>
      </c>
      <c r="AA160" s="5">
        <f>Z160/AB160</f>
        <v>0.32171847158978423</v>
      </c>
      <c r="AB160" s="5">
        <v>101.02</v>
      </c>
      <c r="AC160" s="2">
        <v>46038</v>
      </c>
      <c r="AD160" s="2">
        <v>46038</v>
      </c>
      <c r="AE160" s="3">
        <v>0.64590277777777783</v>
      </c>
      <c r="AF160" t="s">
        <v>188</v>
      </c>
      <c r="AG160" t="s">
        <v>91</v>
      </c>
      <c r="AH160" t="s">
        <v>92</v>
      </c>
      <c r="AI160" t="s">
        <v>93</v>
      </c>
      <c r="AJ160" t="s">
        <v>94</v>
      </c>
      <c r="AK160" t="s">
        <v>95</v>
      </c>
      <c r="AL160" t="s">
        <v>96</v>
      </c>
      <c r="AM160" t="s">
        <v>97</v>
      </c>
      <c r="AN160" t="s">
        <v>98</v>
      </c>
      <c r="AO160" t="s">
        <v>99</v>
      </c>
      <c r="AP160" t="s">
        <v>100</v>
      </c>
    </row>
    <row r="161" spans="1:42" x14ac:dyDescent="0.2">
      <c r="A161" s="1" t="s">
        <v>713</v>
      </c>
      <c r="B161" s="1" t="s">
        <v>714</v>
      </c>
      <c r="C161" s="1" t="s">
        <v>715</v>
      </c>
      <c r="D161" s="1" t="s">
        <v>716</v>
      </c>
      <c r="E161" s="6" t="s">
        <v>785</v>
      </c>
      <c r="F161" s="6" t="s">
        <v>785</v>
      </c>
      <c r="G161" s="6">
        <v>1484</v>
      </c>
      <c r="H161" s="6">
        <v>416</v>
      </c>
      <c r="I161" s="4" t="s">
        <v>776</v>
      </c>
      <c r="J161" s="4">
        <v>0.11</v>
      </c>
      <c r="K161" s="6"/>
      <c r="L161" s="6"/>
      <c r="M161" s="1" t="s">
        <v>24</v>
      </c>
      <c r="N161" s="1" t="s">
        <v>25</v>
      </c>
      <c r="O161" s="1" t="s">
        <v>779</v>
      </c>
      <c r="P161" s="1" t="s">
        <v>25</v>
      </c>
      <c r="Q161" s="1">
        <v>4</v>
      </c>
      <c r="R161" s="1">
        <v>4</v>
      </c>
      <c r="S161" s="1">
        <v>105</v>
      </c>
      <c r="T161" s="1">
        <v>141</v>
      </c>
      <c r="U161" s="1">
        <f>T161+100</f>
        <v>241</v>
      </c>
      <c r="V161" t="s">
        <v>766</v>
      </c>
      <c r="X161" t="s">
        <v>768</v>
      </c>
      <c r="Y161">
        <v>5</v>
      </c>
      <c r="Z161" s="5">
        <v>32.5</v>
      </c>
      <c r="AA161" s="5">
        <f>Z161/AB161</f>
        <v>0.29013194308057633</v>
      </c>
      <c r="AB161" s="5">
        <v>112.018</v>
      </c>
      <c r="AC161" s="2">
        <v>46038</v>
      </c>
      <c r="AD161" s="2">
        <v>46038</v>
      </c>
      <c r="AE161" s="3">
        <v>0.65284722222222225</v>
      </c>
      <c r="AF161" t="s">
        <v>188</v>
      </c>
      <c r="AG161" t="s">
        <v>91</v>
      </c>
      <c r="AH161" t="s">
        <v>92</v>
      </c>
      <c r="AI161" t="s">
        <v>93</v>
      </c>
      <c r="AJ161" t="s">
        <v>94</v>
      </c>
      <c r="AK161" t="s">
        <v>95</v>
      </c>
      <c r="AL161" t="s">
        <v>96</v>
      </c>
      <c r="AM161" t="s">
        <v>97</v>
      </c>
      <c r="AN161" t="s">
        <v>98</v>
      </c>
      <c r="AO161" t="s">
        <v>99</v>
      </c>
      <c r="AP161" t="s">
        <v>100</v>
      </c>
    </row>
    <row r="162" spans="1:42" x14ac:dyDescent="0.2">
      <c r="A162" s="1" t="s">
        <v>593</v>
      </c>
      <c r="B162" s="1" t="s">
        <v>594</v>
      </c>
      <c r="C162" s="1" t="s">
        <v>595</v>
      </c>
      <c r="D162" s="1" t="s">
        <v>596</v>
      </c>
      <c r="E162" s="6" t="s">
        <v>785</v>
      </c>
      <c r="F162" s="6" t="s">
        <v>785</v>
      </c>
      <c r="G162" s="6">
        <v>1484</v>
      </c>
      <c r="H162" s="6">
        <v>416</v>
      </c>
      <c r="I162" s="4" t="s">
        <v>776</v>
      </c>
      <c r="J162" s="4">
        <v>0.15</v>
      </c>
      <c r="K162" s="6"/>
      <c r="L162" s="6"/>
      <c r="M162" s="1" t="s">
        <v>24</v>
      </c>
      <c r="N162" s="1" t="s">
        <v>25</v>
      </c>
      <c r="O162" s="1" t="s">
        <v>780</v>
      </c>
      <c r="P162" s="1" t="s">
        <v>25</v>
      </c>
      <c r="Q162" s="1">
        <v>5</v>
      </c>
      <c r="R162" s="1">
        <v>5</v>
      </c>
      <c r="S162" s="1">
        <v>254</v>
      </c>
      <c r="T162" s="1">
        <v>476</v>
      </c>
      <c r="U162" s="1">
        <f>T162+100</f>
        <v>576</v>
      </c>
      <c r="V162" t="s">
        <v>767</v>
      </c>
      <c r="X162" t="s">
        <v>768</v>
      </c>
      <c r="Y162">
        <v>5</v>
      </c>
      <c r="Z162" s="5">
        <v>32.5</v>
      </c>
      <c r="AA162" s="5">
        <f>Z162/AB162</f>
        <v>0.32171847158978423</v>
      </c>
      <c r="AB162" s="5">
        <v>101.02</v>
      </c>
      <c r="AC162" s="2">
        <v>46038</v>
      </c>
      <c r="AD162" s="2">
        <v>46038</v>
      </c>
      <c r="AE162" s="3">
        <v>0.65807870370370369</v>
      </c>
      <c r="AF162" t="s">
        <v>188</v>
      </c>
      <c r="AG162" t="s">
        <v>91</v>
      </c>
      <c r="AH162" t="s">
        <v>92</v>
      </c>
      <c r="AI162" t="s">
        <v>93</v>
      </c>
      <c r="AJ162" t="s">
        <v>94</v>
      </c>
      <c r="AK162" t="s">
        <v>95</v>
      </c>
      <c r="AL162" t="s">
        <v>96</v>
      </c>
      <c r="AM162" t="s">
        <v>97</v>
      </c>
      <c r="AN162" t="s">
        <v>98</v>
      </c>
      <c r="AO162" t="s">
        <v>99</v>
      </c>
      <c r="AP162" t="s">
        <v>100</v>
      </c>
    </row>
    <row r="163" spans="1:42" x14ac:dyDescent="0.2">
      <c r="A163" s="1" t="s">
        <v>597</v>
      </c>
      <c r="B163" s="1" t="s">
        <v>598</v>
      </c>
      <c r="C163" s="1" t="s">
        <v>599</v>
      </c>
      <c r="D163" s="1" t="s">
        <v>600</v>
      </c>
      <c r="E163" s="6" t="s">
        <v>786</v>
      </c>
      <c r="F163" s="6" t="s">
        <v>786</v>
      </c>
      <c r="G163" s="6">
        <v>1484</v>
      </c>
      <c r="H163" s="6">
        <v>416</v>
      </c>
      <c r="I163" s="4" t="s">
        <v>776</v>
      </c>
      <c r="J163" s="4">
        <v>4.2000000000000003E-2</v>
      </c>
      <c r="K163" s="6"/>
      <c r="L163" s="6"/>
      <c r="M163" s="1" t="s">
        <v>24</v>
      </c>
      <c r="N163" s="1" t="s">
        <v>25</v>
      </c>
      <c r="O163" s="1" t="s">
        <v>780</v>
      </c>
      <c r="P163" s="1" t="s">
        <v>25</v>
      </c>
      <c r="Q163" s="1">
        <v>5</v>
      </c>
      <c r="R163" s="1">
        <v>5</v>
      </c>
      <c r="S163" s="1">
        <v>340</v>
      </c>
      <c r="T163" s="1">
        <v>387</v>
      </c>
      <c r="U163" s="1">
        <f>T163+100</f>
        <v>487</v>
      </c>
      <c r="V163" t="s">
        <v>767</v>
      </c>
      <c r="X163" t="s">
        <v>768</v>
      </c>
      <c r="Y163">
        <v>5</v>
      </c>
      <c r="Z163" s="5">
        <v>32.5</v>
      </c>
      <c r="AA163" s="5">
        <f>Z163/AB163</f>
        <v>0.32171847158978423</v>
      </c>
      <c r="AB163" s="5">
        <v>101.02</v>
      </c>
      <c r="AC163" s="2">
        <v>46038</v>
      </c>
      <c r="AD163" s="2">
        <v>46038</v>
      </c>
      <c r="AE163" s="3">
        <v>0.65820601851851857</v>
      </c>
      <c r="AF163" t="s">
        <v>188</v>
      </c>
      <c r="AG163" t="s">
        <v>91</v>
      </c>
      <c r="AH163" t="s">
        <v>92</v>
      </c>
      <c r="AI163" t="s">
        <v>93</v>
      </c>
      <c r="AJ163" t="s">
        <v>94</v>
      </c>
      <c r="AK163" t="s">
        <v>95</v>
      </c>
      <c r="AL163" t="s">
        <v>96</v>
      </c>
      <c r="AM163" t="s">
        <v>97</v>
      </c>
      <c r="AN163" t="s">
        <v>98</v>
      </c>
      <c r="AO163" t="s">
        <v>99</v>
      </c>
      <c r="AP163" t="s">
        <v>100</v>
      </c>
    </row>
    <row r="164" spans="1:42" x14ac:dyDescent="0.2">
      <c r="A164" s="1" t="s">
        <v>601</v>
      </c>
      <c r="B164" s="1" t="s">
        <v>602</v>
      </c>
      <c r="C164" s="1" t="s">
        <v>603</v>
      </c>
      <c r="D164" s="1" t="s">
        <v>604</v>
      </c>
      <c r="E164" s="6" t="s">
        <v>785</v>
      </c>
      <c r="F164" s="6" t="s">
        <v>785</v>
      </c>
      <c r="G164" s="6">
        <v>1484</v>
      </c>
      <c r="H164" s="6">
        <v>416</v>
      </c>
      <c r="I164" s="4" t="s">
        <v>776</v>
      </c>
      <c r="J164" s="4">
        <v>0.10199999999999999</v>
      </c>
      <c r="K164" s="6"/>
      <c r="L164" s="6"/>
      <c r="M164" s="1" t="s">
        <v>24</v>
      </c>
      <c r="N164" s="1" t="s">
        <v>25</v>
      </c>
      <c r="O164" s="1" t="s">
        <v>780</v>
      </c>
      <c r="P164" s="1" t="s">
        <v>25</v>
      </c>
      <c r="Q164" s="1">
        <v>5</v>
      </c>
      <c r="R164" s="1">
        <v>5</v>
      </c>
      <c r="S164" s="1">
        <v>0</v>
      </c>
      <c r="T164" s="1">
        <v>45</v>
      </c>
      <c r="U164" s="1">
        <f>T164+100</f>
        <v>145</v>
      </c>
      <c r="V164" t="s">
        <v>767</v>
      </c>
      <c r="X164" t="s">
        <v>768</v>
      </c>
      <c r="Y164">
        <v>5</v>
      </c>
      <c r="Z164" s="5">
        <v>32.5</v>
      </c>
      <c r="AA164" s="5">
        <f>Z164/AB164</f>
        <v>0.32171847158978423</v>
      </c>
      <c r="AB164" s="5">
        <v>101.02</v>
      </c>
      <c r="AC164" s="2">
        <v>46038</v>
      </c>
      <c r="AD164" s="2">
        <v>46038</v>
      </c>
      <c r="AE164" s="3">
        <v>0.65855324074074073</v>
      </c>
      <c r="AF164" t="s">
        <v>188</v>
      </c>
      <c r="AG164" t="s">
        <v>91</v>
      </c>
      <c r="AH164" t="s">
        <v>92</v>
      </c>
      <c r="AI164" t="s">
        <v>93</v>
      </c>
      <c r="AJ164" t="s">
        <v>94</v>
      </c>
      <c r="AK164" t="s">
        <v>95</v>
      </c>
      <c r="AL164" t="s">
        <v>96</v>
      </c>
      <c r="AM164" t="s">
        <v>97</v>
      </c>
      <c r="AN164" t="s">
        <v>98</v>
      </c>
      <c r="AO164" t="s">
        <v>99</v>
      </c>
      <c r="AP164" t="s">
        <v>100</v>
      </c>
    </row>
    <row r="165" spans="1:42" x14ac:dyDescent="0.2">
      <c r="A165" s="1" t="s">
        <v>605</v>
      </c>
      <c r="B165" s="1" t="s">
        <v>606</v>
      </c>
      <c r="C165" s="1" t="s">
        <v>607</v>
      </c>
      <c r="D165" s="1" t="s">
        <v>608</v>
      </c>
      <c r="E165" s="6" t="s">
        <v>785</v>
      </c>
      <c r="F165" s="6" t="s">
        <v>785</v>
      </c>
      <c r="G165" s="6">
        <v>1484</v>
      </c>
      <c r="H165" s="6">
        <v>416</v>
      </c>
      <c r="I165" s="4" t="s">
        <v>776</v>
      </c>
      <c r="J165" s="4">
        <v>0.14799999999999999</v>
      </c>
      <c r="K165" s="6"/>
      <c r="L165" s="6"/>
      <c r="M165" s="1" t="s">
        <v>24</v>
      </c>
      <c r="N165" s="1" t="s">
        <v>25</v>
      </c>
      <c r="O165" s="1" t="s">
        <v>780</v>
      </c>
      <c r="P165" s="1" t="s">
        <v>25</v>
      </c>
      <c r="Q165" s="1">
        <v>5</v>
      </c>
      <c r="R165" s="1">
        <v>5</v>
      </c>
      <c r="S165" s="1">
        <v>77</v>
      </c>
      <c r="T165" s="1">
        <v>604</v>
      </c>
      <c r="U165" s="1">
        <f>T165+100</f>
        <v>704</v>
      </c>
      <c r="V165" t="s">
        <v>767</v>
      </c>
      <c r="X165" t="s">
        <v>768</v>
      </c>
      <c r="Y165">
        <v>5</v>
      </c>
      <c r="Z165" s="5">
        <v>32.5</v>
      </c>
      <c r="AA165" s="5">
        <f>Z165/AB165</f>
        <v>0.32171847158978423</v>
      </c>
      <c r="AB165" s="5">
        <v>101.02</v>
      </c>
      <c r="AC165" s="2">
        <v>46038</v>
      </c>
      <c r="AD165" s="2">
        <v>46038</v>
      </c>
      <c r="AE165" s="3">
        <v>0.6586805555555556</v>
      </c>
      <c r="AF165" t="s">
        <v>188</v>
      </c>
      <c r="AG165" t="s">
        <v>91</v>
      </c>
      <c r="AH165" t="s">
        <v>92</v>
      </c>
      <c r="AI165" t="s">
        <v>93</v>
      </c>
      <c r="AJ165" t="s">
        <v>94</v>
      </c>
      <c r="AK165" t="s">
        <v>95</v>
      </c>
      <c r="AL165" t="s">
        <v>96</v>
      </c>
      <c r="AM165" t="s">
        <v>97</v>
      </c>
      <c r="AN165" t="s">
        <v>98</v>
      </c>
      <c r="AO165" t="s">
        <v>99</v>
      </c>
      <c r="AP165" t="s">
        <v>100</v>
      </c>
    </row>
    <row r="166" spans="1:42" x14ac:dyDescent="0.2">
      <c r="A166" s="1" t="s">
        <v>609</v>
      </c>
      <c r="B166" s="1" t="s">
        <v>610</v>
      </c>
      <c r="C166" s="1" t="s">
        <v>611</v>
      </c>
      <c r="D166" s="1" t="s">
        <v>612</v>
      </c>
      <c r="E166" s="6" t="s">
        <v>785</v>
      </c>
      <c r="F166" s="6" t="s">
        <v>785</v>
      </c>
      <c r="G166" s="6">
        <v>1484</v>
      </c>
      <c r="H166" s="6">
        <v>416</v>
      </c>
      <c r="I166" s="4" t="s">
        <v>776</v>
      </c>
      <c r="J166" s="4">
        <v>0.107</v>
      </c>
      <c r="K166" s="6"/>
      <c r="L166" s="6"/>
      <c r="M166" s="1" t="s">
        <v>24</v>
      </c>
      <c r="N166" s="1" t="s">
        <v>25</v>
      </c>
      <c r="O166" s="1" t="s">
        <v>780</v>
      </c>
      <c r="P166" s="1" t="s">
        <v>25</v>
      </c>
      <c r="Q166" s="1">
        <v>5</v>
      </c>
      <c r="R166" s="1">
        <v>5</v>
      </c>
      <c r="S166" s="1">
        <v>162</v>
      </c>
      <c r="T166" s="1">
        <v>433</v>
      </c>
      <c r="U166" s="1">
        <f>T166+100</f>
        <v>533</v>
      </c>
      <c r="V166" t="s">
        <v>767</v>
      </c>
      <c r="X166" t="s">
        <v>768</v>
      </c>
      <c r="Y166">
        <v>5</v>
      </c>
      <c r="Z166" s="5">
        <v>32.5</v>
      </c>
      <c r="AA166" s="5">
        <f>Z166/AB166</f>
        <v>0.32171847158978423</v>
      </c>
      <c r="AB166" s="5">
        <v>101.02</v>
      </c>
      <c r="AC166" s="2">
        <v>46038</v>
      </c>
      <c r="AD166" s="2">
        <v>46038</v>
      </c>
      <c r="AE166" s="3">
        <v>0.65913194444444445</v>
      </c>
      <c r="AF166" t="s">
        <v>188</v>
      </c>
      <c r="AG166" t="s">
        <v>91</v>
      </c>
      <c r="AH166" t="s">
        <v>92</v>
      </c>
      <c r="AI166" t="s">
        <v>93</v>
      </c>
      <c r="AJ166" t="s">
        <v>94</v>
      </c>
      <c r="AK166" t="s">
        <v>95</v>
      </c>
      <c r="AL166" t="s">
        <v>96</v>
      </c>
      <c r="AM166" t="s">
        <v>97</v>
      </c>
      <c r="AN166" t="s">
        <v>98</v>
      </c>
      <c r="AO166" t="s">
        <v>99</v>
      </c>
      <c r="AP166" t="s">
        <v>100</v>
      </c>
    </row>
    <row r="167" spans="1:42" x14ac:dyDescent="0.2">
      <c r="A167" s="1" t="s">
        <v>613</v>
      </c>
      <c r="B167" s="1" t="s">
        <v>614</v>
      </c>
      <c r="C167" s="1" t="s">
        <v>615</v>
      </c>
      <c r="D167" s="1" t="s">
        <v>616</v>
      </c>
      <c r="E167" s="6" t="s">
        <v>786</v>
      </c>
      <c r="F167" s="6" t="s">
        <v>786</v>
      </c>
      <c r="G167" s="6">
        <v>1484</v>
      </c>
      <c r="H167" s="6">
        <v>416</v>
      </c>
      <c r="I167" s="4" t="s">
        <v>776</v>
      </c>
      <c r="J167" s="4">
        <v>0.26700000000000002</v>
      </c>
      <c r="K167" s="6"/>
      <c r="L167" s="6"/>
      <c r="M167" s="1" t="s">
        <v>24</v>
      </c>
      <c r="N167" s="1" t="s">
        <v>25</v>
      </c>
      <c r="O167" s="1" t="s">
        <v>780</v>
      </c>
      <c r="P167" s="1" t="s">
        <v>25</v>
      </c>
      <c r="Q167" s="1">
        <v>5</v>
      </c>
      <c r="R167" s="1">
        <v>5</v>
      </c>
      <c r="S167" s="1">
        <v>317</v>
      </c>
      <c r="T167" s="1">
        <v>351</v>
      </c>
      <c r="U167" s="1">
        <f>T167+100</f>
        <v>451</v>
      </c>
      <c r="V167" t="s">
        <v>767</v>
      </c>
      <c r="X167" t="s">
        <v>768</v>
      </c>
      <c r="Y167">
        <v>5</v>
      </c>
      <c r="Z167" s="5">
        <v>32.5</v>
      </c>
      <c r="AA167" s="5">
        <f>Z167/AB167</f>
        <v>0.32171847158978423</v>
      </c>
      <c r="AB167" s="5">
        <v>101.02</v>
      </c>
      <c r="AC167" s="2">
        <v>46038</v>
      </c>
      <c r="AD167" s="2">
        <v>46038</v>
      </c>
      <c r="AE167" s="3">
        <v>0.65968749999999998</v>
      </c>
      <c r="AF167" t="s">
        <v>188</v>
      </c>
      <c r="AG167" t="s">
        <v>91</v>
      </c>
      <c r="AH167" t="s">
        <v>92</v>
      </c>
      <c r="AI167" t="s">
        <v>93</v>
      </c>
      <c r="AJ167" t="s">
        <v>94</v>
      </c>
      <c r="AK167" t="s">
        <v>95</v>
      </c>
      <c r="AL167" t="s">
        <v>96</v>
      </c>
      <c r="AM167" t="s">
        <v>97</v>
      </c>
      <c r="AN167" t="s">
        <v>98</v>
      </c>
      <c r="AO167" t="s">
        <v>99</v>
      </c>
      <c r="AP167" t="s">
        <v>100</v>
      </c>
    </row>
    <row r="168" spans="1:42" x14ac:dyDescent="0.2">
      <c r="A168" s="1" t="s">
        <v>617</v>
      </c>
      <c r="B168" s="1" t="s">
        <v>618</v>
      </c>
      <c r="C168" s="1" t="s">
        <v>619</v>
      </c>
      <c r="D168" s="1" t="s">
        <v>620</v>
      </c>
      <c r="E168" s="6" t="s">
        <v>786</v>
      </c>
      <c r="F168" s="6" t="s">
        <v>786</v>
      </c>
      <c r="G168" s="6">
        <v>1484</v>
      </c>
      <c r="H168" s="6">
        <v>416</v>
      </c>
      <c r="I168" s="4" t="s">
        <v>776</v>
      </c>
      <c r="J168" s="4">
        <v>4.4999999999999998E-2</v>
      </c>
      <c r="K168" s="6"/>
      <c r="L168" s="6"/>
      <c r="M168" s="1" t="s">
        <v>24</v>
      </c>
      <c r="N168" s="1" t="s">
        <v>25</v>
      </c>
      <c r="O168" s="1" t="s">
        <v>780</v>
      </c>
      <c r="P168" s="1" t="s">
        <v>25</v>
      </c>
      <c r="Q168" s="1">
        <v>5</v>
      </c>
      <c r="R168" s="1">
        <v>5</v>
      </c>
      <c r="S168" s="1">
        <v>366</v>
      </c>
      <c r="T168" s="1">
        <v>413</v>
      </c>
      <c r="U168" s="1">
        <f>T168+100</f>
        <v>513</v>
      </c>
      <c r="V168" t="s">
        <v>767</v>
      </c>
      <c r="X168" t="s">
        <v>768</v>
      </c>
      <c r="Y168">
        <v>5</v>
      </c>
      <c r="Z168" s="5">
        <v>32.5</v>
      </c>
      <c r="AA168" s="5">
        <f>Z168/AB168</f>
        <v>0.32171847158978423</v>
      </c>
      <c r="AB168" s="5">
        <v>101.02</v>
      </c>
      <c r="AC168" s="2">
        <v>46038</v>
      </c>
      <c r="AD168" s="2">
        <v>46038</v>
      </c>
      <c r="AE168" s="3">
        <v>0.66023148148148147</v>
      </c>
      <c r="AF168" t="s">
        <v>188</v>
      </c>
      <c r="AG168" t="s">
        <v>91</v>
      </c>
      <c r="AH168" t="s">
        <v>92</v>
      </c>
      <c r="AI168" t="s">
        <v>93</v>
      </c>
      <c r="AJ168" t="s">
        <v>94</v>
      </c>
      <c r="AK168" t="s">
        <v>95</v>
      </c>
      <c r="AL168" t="s">
        <v>96</v>
      </c>
      <c r="AM168" t="s">
        <v>97</v>
      </c>
      <c r="AN168" t="s">
        <v>98</v>
      </c>
      <c r="AO168" t="s">
        <v>99</v>
      </c>
      <c r="AP168" t="s">
        <v>100</v>
      </c>
    </row>
    <row r="169" spans="1:42" x14ac:dyDescent="0.2">
      <c r="A169" s="1" t="s">
        <v>621</v>
      </c>
      <c r="B169" s="1" t="s">
        <v>622</v>
      </c>
      <c r="C169" s="1" t="s">
        <v>623</v>
      </c>
      <c r="D169" s="1" t="s">
        <v>624</v>
      </c>
      <c r="E169" s="6" t="s">
        <v>785</v>
      </c>
      <c r="F169" s="6" t="s">
        <v>785</v>
      </c>
      <c r="G169" s="6">
        <v>1484</v>
      </c>
      <c r="H169" s="6">
        <v>416</v>
      </c>
      <c r="I169" s="4" t="s">
        <v>776</v>
      </c>
      <c r="J169" s="4">
        <v>7.0000000000000007E-2</v>
      </c>
      <c r="K169" s="6"/>
      <c r="L169" s="6"/>
      <c r="M169" s="1" t="s">
        <v>24</v>
      </c>
      <c r="N169" s="1" t="s">
        <v>25</v>
      </c>
      <c r="O169" s="1" t="s">
        <v>780</v>
      </c>
      <c r="P169" s="1" t="s">
        <v>25</v>
      </c>
      <c r="Q169" s="1">
        <v>5</v>
      </c>
      <c r="R169" s="1">
        <v>5</v>
      </c>
      <c r="S169" s="1">
        <v>0</v>
      </c>
      <c r="T169" s="1">
        <v>345</v>
      </c>
      <c r="U169" s="1">
        <f>T169+100</f>
        <v>445</v>
      </c>
      <c r="V169" t="s">
        <v>767</v>
      </c>
      <c r="X169" t="s">
        <v>768</v>
      </c>
      <c r="Y169">
        <v>5</v>
      </c>
      <c r="Z169" s="5">
        <v>32.5</v>
      </c>
      <c r="AA169" s="5">
        <f>Z169/AB169</f>
        <v>0.32171847158978423</v>
      </c>
      <c r="AB169" s="5">
        <v>101.02</v>
      </c>
      <c r="AC169" s="2">
        <v>46038</v>
      </c>
      <c r="AD169" s="2">
        <v>46038</v>
      </c>
      <c r="AE169" s="3">
        <v>0.6605092592592593</v>
      </c>
      <c r="AF169" t="s">
        <v>188</v>
      </c>
      <c r="AG169" t="s">
        <v>91</v>
      </c>
      <c r="AH169" t="s">
        <v>92</v>
      </c>
      <c r="AI169" t="s">
        <v>93</v>
      </c>
      <c r="AJ169" t="s">
        <v>94</v>
      </c>
      <c r="AK169" t="s">
        <v>95</v>
      </c>
      <c r="AL169" t="s">
        <v>96</v>
      </c>
      <c r="AM169" t="s">
        <v>97</v>
      </c>
      <c r="AN169" t="s">
        <v>98</v>
      </c>
      <c r="AO169" t="s">
        <v>99</v>
      </c>
      <c r="AP169" t="s">
        <v>100</v>
      </c>
    </row>
    <row r="170" spans="1:42" x14ac:dyDescent="0.2">
      <c r="A170" s="1" t="s">
        <v>629</v>
      </c>
      <c r="B170" s="1" t="s">
        <v>630</v>
      </c>
      <c r="C170" s="1" t="s">
        <v>631</v>
      </c>
      <c r="D170" s="1" t="s">
        <v>632</v>
      </c>
      <c r="E170" s="6" t="s">
        <v>785</v>
      </c>
      <c r="F170" s="6" t="s">
        <v>785</v>
      </c>
      <c r="G170" s="6">
        <v>1484</v>
      </c>
      <c r="H170" s="6">
        <v>416</v>
      </c>
      <c r="I170" s="4" t="s">
        <v>776</v>
      </c>
      <c r="J170" s="4">
        <v>0.15</v>
      </c>
      <c r="K170" s="6"/>
      <c r="L170" s="6"/>
      <c r="M170" s="1" t="s">
        <v>24</v>
      </c>
      <c r="N170" s="1" t="s">
        <v>25</v>
      </c>
      <c r="O170" s="1" t="s">
        <v>780</v>
      </c>
      <c r="P170" s="1" t="s">
        <v>25</v>
      </c>
      <c r="Q170" s="1">
        <v>5</v>
      </c>
      <c r="R170" s="1">
        <v>5</v>
      </c>
      <c r="S170" s="1">
        <v>597</v>
      </c>
      <c r="T170" s="1">
        <v>682</v>
      </c>
      <c r="U170" s="1">
        <f>T170+100</f>
        <v>782</v>
      </c>
      <c r="V170" t="s">
        <v>767</v>
      </c>
      <c r="X170" t="s">
        <v>768</v>
      </c>
      <c r="Y170">
        <v>5</v>
      </c>
      <c r="Z170" s="5">
        <v>32.5</v>
      </c>
      <c r="AA170" s="5">
        <f>Z170/AB170</f>
        <v>0.32171847158978423</v>
      </c>
      <c r="AB170" s="5">
        <v>101.02</v>
      </c>
      <c r="AC170" s="2">
        <v>46038</v>
      </c>
      <c r="AD170" s="2">
        <v>46038</v>
      </c>
      <c r="AE170" s="3">
        <v>0.65782407407407406</v>
      </c>
      <c r="AF170" t="s">
        <v>188</v>
      </c>
      <c r="AG170" t="s">
        <v>91</v>
      </c>
      <c r="AH170" t="s">
        <v>92</v>
      </c>
      <c r="AI170" t="s">
        <v>93</v>
      </c>
      <c r="AJ170" t="s">
        <v>94</v>
      </c>
      <c r="AK170" t="s">
        <v>95</v>
      </c>
      <c r="AL170" t="s">
        <v>96</v>
      </c>
      <c r="AM170" t="s">
        <v>97</v>
      </c>
      <c r="AN170" t="s">
        <v>98</v>
      </c>
      <c r="AO170" t="s">
        <v>99</v>
      </c>
      <c r="AP170" t="s">
        <v>100</v>
      </c>
    </row>
    <row r="171" spans="1:42" x14ac:dyDescent="0.2">
      <c r="A171" s="1" t="s">
        <v>685</v>
      </c>
      <c r="B171" s="1" t="s">
        <v>686</v>
      </c>
      <c r="C171" s="1" t="s">
        <v>687</v>
      </c>
      <c r="D171" s="1" t="s">
        <v>688</v>
      </c>
      <c r="E171" s="6" t="s">
        <v>785</v>
      </c>
      <c r="F171" s="6" t="s">
        <v>785</v>
      </c>
      <c r="G171" s="6">
        <v>1484</v>
      </c>
      <c r="H171" s="6">
        <v>416</v>
      </c>
      <c r="I171" s="4" t="s">
        <v>776</v>
      </c>
      <c r="J171" s="4">
        <v>1.1999999999999999E-3</v>
      </c>
      <c r="K171" s="6"/>
      <c r="L171" s="6"/>
      <c r="M171" s="1" t="s">
        <v>24</v>
      </c>
      <c r="N171" s="1" t="s">
        <v>25</v>
      </c>
      <c r="O171" s="1" t="s">
        <v>780</v>
      </c>
      <c r="P171" s="1" t="s">
        <v>25</v>
      </c>
      <c r="Q171" s="1">
        <v>5</v>
      </c>
      <c r="R171" s="1">
        <v>5</v>
      </c>
      <c r="S171" s="1">
        <v>760</v>
      </c>
      <c r="T171" s="1">
        <v>799</v>
      </c>
      <c r="U171" s="1">
        <f>T171+100</f>
        <v>899</v>
      </c>
      <c r="V171" t="s">
        <v>767</v>
      </c>
      <c r="X171" t="s">
        <v>768</v>
      </c>
      <c r="Y171">
        <v>5</v>
      </c>
      <c r="Z171" s="5">
        <v>32.5</v>
      </c>
      <c r="AA171" s="5">
        <f>Z171/AB171</f>
        <v>0.32171847158978423</v>
      </c>
      <c r="AB171" s="5">
        <v>101.02</v>
      </c>
      <c r="AC171" s="2">
        <v>46038</v>
      </c>
      <c r="AD171" s="2">
        <v>46038</v>
      </c>
      <c r="AE171" s="3">
        <v>0.65738425925925925</v>
      </c>
      <c r="AF171" t="s">
        <v>188</v>
      </c>
      <c r="AG171" t="s">
        <v>91</v>
      </c>
      <c r="AH171" t="s">
        <v>92</v>
      </c>
      <c r="AI171" t="s">
        <v>93</v>
      </c>
      <c r="AJ171" t="s">
        <v>94</v>
      </c>
      <c r="AK171" t="s">
        <v>95</v>
      </c>
      <c r="AL171" t="s">
        <v>96</v>
      </c>
      <c r="AM171" t="s">
        <v>97</v>
      </c>
      <c r="AN171" t="s">
        <v>98</v>
      </c>
      <c r="AO171" t="s">
        <v>99</v>
      </c>
      <c r="AP171" t="s">
        <v>100</v>
      </c>
    </row>
    <row r="172" spans="1:42" x14ac:dyDescent="0.2">
      <c r="A172" s="1" t="s">
        <v>737</v>
      </c>
      <c r="B172" s="1" t="s">
        <v>738</v>
      </c>
      <c r="C172" s="1" t="s">
        <v>739</v>
      </c>
      <c r="D172" s="1" t="s">
        <v>740</v>
      </c>
      <c r="E172" s="6" t="s">
        <v>785</v>
      </c>
      <c r="F172" s="6" t="s">
        <v>785</v>
      </c>
      <c r="G172" s="6">
        <v>1484</v>
      </c>
      <c r="H172" s="6">
        <v>416</v>
      </c>
      <c r="I172" s="4" t="s">
        <v>776</v>
      </c>
      <c r="J172" s="4">
        <v>0.1</v>
      </c>
      <c r="K172" s="6"/>
      <c r="L172" s="6"/>
      <c r="M172" s="1" t="s">
        <v>24</v>
      </c>
      <c r="N172" s="1" t="s">
        <v>41</v>
      </c>
      <c r="O172" s="1" t="s">
        <v>780</v>
      </c>
      <c r="P172" s="1" t="s">
        <v>41</v>
      </c>
      <c r="Q172" s="1">
        <v>6</v>
      </c>
      <c r="R172" s="1">
        <v>6</v>
      </c>
      <c r="S172" s="1">
        <v>342</v>
      </c>
      <c r="T172" s="1">
        <v>366</v>
      </c>
      <c r="U172" s="1">
        <f>T172+100</f>
        <v>466</v>
      </c>
      <c r="V172" t="s">
        <v>766</v>
      </c>
      <c r="X172" t="s">
        <v>768</v>
      </c>
      <c r="Y172">
        <v>5</v>
      </c>
      <c r="Z172" s="5">
        <v>32.5</v>
      </c>
      <c r="AA172" s="5">
        <f>Z172/AB172</f>
        <v>0.29013194308057633</v>
      </c>
      <c r="AB172" s="5">
        <v>112.018</v>
      </c>
      <c r="AC172" s="2">
        <v>46038</v>
      </c>
      <c r="AD172" s="2">
        <v>46038</v>
      </c>
      <c r="AE172" s="3">
        <v>0.67425925925925922</v>
      </c>
      <c r="AF172" t="s">
        <v>188</v>
      </c>
      <c r="AG172" t="s">
        <v>91</v>
      </c>
      <c r="AH172" t="s">
        <v>92</v>
      </c>
      <c r="AI172" t="s">
        <v>93</v>
      </c>
      <c r="AJ172" t="s">
        <v>94</v>
      </c>
      <c r="AK172" t="s">
        <v>95</v>
      </c>
      <c r="AL172" t="s">
        <v>96</v>
      </c>
      <c r="AM172" t="s">
        <v>97</v>
      </c>
      <c r="AN172" t="s">
        <v>98</v>
      </c>
      <c r="AO172" t="s">
        <v>99</v>
      </c>
      <c r="AP172" t="s">
        <v>100</v>
      </c>
    </row>
    <row r="173" spans="1:42" x14ac:dyDescent="0.2">
      <c r="A173" s="1" t="s">
        <v>741</v>
      </c>
      <c r="B173" s="1" t="s">
        <v>742</v>
      </c>
      <c r="C173" s="1" t="s">
        <v>743</v>
      </c>
      <c r="D173" s="1" t="s">
        <v>744</v>
      </c>
      <c r="E173" s="6" t="s">
        <v>785</v>
      </c>
      <c r="F173" s="6" t="s">
        <v>785</v>
      </c>
      <c r="G173" s="6">
        <v>1484</v>
      </c>
      <c r="H173" s="6">
        <v>416</v>
      </c>
      <c r="I173" s="4" t="s">
        <v>776</v>
      </c>
      <c r="J173" s="4">
        <v>0.20499999999999999</v>
      </c>
      <c r="K173" s="6"/>
      <c r="L173" s="6"/>
      <c r="M173" s="1" t="s">
        <v>24</v>
      </c>
      <c r="N173" s="1" t="s">
        <v>41</v>
      </c>
      <c r="O173" s="1" t="s">
        <v>780</v>
      </c>
      <c r="P173" s="1" t="s">
        <v>41</v>
      </c>
      <c r="Q173" s="1">
        <v>6</v>
      </c>
      <c r="R173" s="1">
        <v>6</v>
      </c>
      <c r="S173" s="1">
        <v>423</v>
      </c>
      <c r="T173" s="1">
        <v>475</v>
      </c>
      <c r="U173" s="1">
        <f>T173+100</f>
        <v>575</v>
      </c>
      <c r="V173" t="s">
        <v>766</v>
      </c>
      <c r="W173" t="s">
        <v>767</v>
      </c>
      <c r="X173" t="s">
        <v>768</v>
      </c>
      <c r="Y173">
        <v>5</v>
      </c>
      <c r="Z173" s="5">
        <v>32.5</v>
      </c>
      <c r="AA173" s="5">
        <f>Z173/AB173</f>
        <v>0.29013194308057633</v>
      </c>
      <c r="AB173" s="5">
        <v>112.018</v>
      </c>
      <c r="AC173" s="2">
        <v>46038</v>
      </c>
      <c r="AD173" s="2">
        <v>46038</v>
      </c>
      <c r="AE173" s="3">
        <v>0.67493055555555559</v>
      </c>
      <c r="AF173" t="s">
        <v>188</v>
      </c>
      <c r="AG173" t="s">
        <v>91</v>
      </c>
      <c r="AH173" t="s">
        <v>92</v>
      </c>
      <c r="AI173" t="s">
        <v>93</v>
      </c>
      <c r="AJ173" t="s">
        <v>94</v>
      </c>
      <c r="AK173" t="s">
        <v>95</v>
      </c>
      <c r="AL173" t="s">
        <v>96</v>
      </c>
      <c r="AM173" t="s">
        <v>97</v>
      </c>
      <c r="AN173" t="s">
        <v>98</v>
      </c>
      <c r="AO173" t="s">
        <v>99</v>
      </c>
      <c r="AP173" t="s">
        <v>100</v>
      </c>
    </row>
    <row r="174" spans="1:42" x14ac:dyDescent="0.2">
      <c r="A174" s="1" t="s">
        <v>745</v>
      </c>
      <c r="B174" s="1" t="s">
        <v>746</v>
      </c>
      <c r="C174" s="1" t="s">
        <v>747</v>
      </c>
      <c r="D174" s="1" t="s">
        <v>748</v>
      </c>
      <c r="E174" s="6" t="s">
        <v>785</v>
      </c>
      <c r="F174" s="6" t="s">
        <v>786</v>
      </c>
      <c r="G174" s="6">
        <v>1484</v>
      </c>
      <c r="H174" s="6">
        <v>416</v>
      </c>
      <c r="I174" s="4" t="s">
        <v>776</v>
      </c>
      <c r="J174" s="4">
        <v>0.45500000000000002</v>
      </c>
      <c r="K174" s="6"/>
      <c r="L174" s="6"/>
      <c r="M174" s="1" t="s">
        <v>24</v>
      </c>
      <c r="N174" s="1" t="s">
        <v>41</v>
      </c>
      <c r="O174" s="1" t="s">
        <v>780</v>
      </c>
      <c r="P174" s="1" t="s">
        <v>41</v>
      </c>
      <c r="Q174" s="1">
        <v>6</v>
      </c>
      <c r="R174" s="1">
        <v>6</v>
      </c>
      <c r="S174" s="1">
        <v>424</v>
      </c>
      <c r="T174" s="1">
        <v>528</v>
      </c>
      <c r="U174" s="1">
        <f>T174+100</f>
        <v>628</v>
      </c>
      <c r="V174" t="s">
        <v>766</v>
      </c>
      <c r="W174" t="s">
        <v>767</v>
      </c>
      <c r="X174" t="s">
        <v>768</v>
      </c>
      <c r="Y174">
        <v>5</v>
      </c>
      <c r="Z174" s="5">
        <v>32.5</v>
      </c>
      <c r="AA174" s="5">
        <f>Z174/AB174</f>
        <v>0.29013194308057633</v>
      </c>
      <c r="AB174" s="5">
        <v>112.018</v>
      </c>
      <c r="AC174" s="2">
        <v>46038</v>
      </c>
      <c r="AD174" s="2">
        <v>46038</v>
      </c>
      <c r="AE174" s="3">
        <v>0.67591435185185189</v>
      </c>
      <c r="AF174" t="s">
        <v>188</v>
      </c>
      <c r="AG174" t="s">
        <v>91</v>
      </c>
      <c r="AH174" t="s">
        <v>92</v>
      </c>
      <c r="AI174" t="s">
        <v>93</v>
      </c>
      <c r="AJ174" t="s">
        <v>94</v>
      </c>
      <c r="AK174" t="s">
        <v>95</v>
      </c>
      <c r="AL174" t="s">
        <v>96</v>
      </c>
      <c r="AM174" t="s">
        <v>97</v>
      </c>
      <c r="AN174" t="s">
        <v>98</v>
      </c>
      <c r="AO174" t="s">
        <v>99</v>
      </c>
      <c r="AP174" t="s">
        <v>100</v>
      </c>
    </row>
    <row r="175" spans="1:42" x14ac:dyDescent="0.2">
      <c r="A175" s="1" t="s">
        <v>749</v>
      </c>
      <c r="B175" s="1" t="s">
        <v>750</v>
      </c>
      <c r="C175" s="1" t="s">
        <v>751</v>
      </c>
      <c r="D175" s="1" t="s">
        <v>752</v>
      </c>
      <c r="E175" s="6" t="s">
        <v>786</v>
      </c>
      <c r="F175" s="6" t="s">
        <v>786</v>
      </c>
      <c r="G175" s="6">
        <v>1484</v>
      </c>
      <c r="H175" s="6">
        <v>416</v>
      </c>
      <c r="I175" s="4" t="s">
        <v>776</v>
      </c>
      <c r="J175" s="4">
        <v>0.126</v>
      </c>
      <c r="K175" s="6"/>
      <c r="L175" s="6"/>
      <c r="M175" s="1" t="s">
        <v>24</v>
      </c>
      <c r="N175" s="1" t="s">
        <v>41</v>
      </c>
      <c r="O175" s="1" t="s">
        <v>780</v>
      </c>
      <c r="P175" s="1" t="s">
        <v>41</v>
      </c>
      <c r="Q175" s="1">
        <v>6</v>
      </c>
      <c r="R175" s="1">
        <v>6</v>
      </c>
      <c r="S175" s="1">
        <v>456</v>
      </c>
      <c r="T175" s="1">
        <v>484</v>
      </c>
      <c r="U175" s="1">
        <f>T175+100</f>
        <v>584</v>
      </c>
      <c r="V175" t="s">
        <v>766</v>
      </c>
      <c r="W175" t="s">
        <v>767</v>
      </c>
      <c r="X175" t="s">
        <v>768</v>
      </c>
      <c r="Y175">
        <v>5</v>
      </c>
      <c r="Z175" s="5">
        <v>32.5</v>
      </c>
      <c r="AA175" s="5">
        <f>Z175/AB175</f>
        <v>0.29013194308057633</v>
      </c>
      <c r="AB175" s="5">
        <v>112.018</v>
      </c>
      <c r="AC175" s="2">
        <v>46038</v>
      </c>
      <c r="AD175" s="2">
        <v>46038</v>
      </c>
      <c r="AE175" s="3">
        <v>0.67609953703703707</v>
      </c>
      <c r="AF175" t="s">
        <v>188</v>
      </c>
      <c r="AG175" t="s">
        <v>91</v>
      </c>
      <c r="AH175" t="s">
        <v>92</v>
      </c>
      <c r="AI175" t="s">
        <v>93</v>
      </c>
      <c r="AJ175" t="s">
        <v>94</v>
      </c>
      <c r="AK175" t="s">
        <v>95</v>
      </c>
      <c r="AL175" t="s">
        <v>96</v>
      </c>
      <c r="AM175" t="s">
        <v>97</v>
      </c>
      <c r="AN175" t="s">
        <v>98</v>
      </c>
      <c r="AO175" t="s">
        <v>99</v>
      </c>
      <c r="AP175" t="s">
        <v>100</v>
      </c>
    </row>
    <row r="176" spans="1:42" x14ac:dyDescent="0.2">
      <c r="AC176" s="2"/>
      <c r="AD176" s="2"/>
      <c r="AE176" s="3"/>
    </row>
    <row r="177" spans="29:31" x14ac:dyDescent="0.2">
      <c r="AC177" s="2"/>
      <c r="AD177" s="2"/>
      <c r="AE177" s="3"/>
    </row>
    <row r="178" spans="29:31" x14ac:dyDescent="0.2">
      <c r="AC178" s="2"/>
      <c r="AD178" s="2"/>
      <c r="AE178" s="3"/>
    </row>
    <row r="179" spans="29:31" x14ac:dyDescent="0.2">
      <c r="AC179" s="2"/>
      <c r="AD179" s="2"/>
      <c r="AE179" s="3"/>
    </row>
    <row r="180" spans="29:31" x14ac:dyDescent="0.2">
      <c r="AC180" s="2"/>
      <c r="AD180" s="2"/>
      <c r="AE180" s="3"/>
    </row>
    <row r="181" spans="29:31" x14ac:dyDescent="0.2">
      <c r="AC181" s="2"/>
      <c r="AD181" s="2"/>
      <c r="AE181" s="3"/>
    </row>
    <row r="182" spans="29:31" x14ac:dyDescent="0.2">
      <c r="AC182" s="2"/>
      <c r="AD182" s="2"/>
      <c r="AE182" s="3"/>
    </row>
    <row r="183" spans="29:31" x14ac:dyDescent="0.2">
      <c r="AC183" s="2"/>
      <c r="AD183" s="2"/>
      <c r="AE183" s="3"/>
    </row>
    <row r="184" spans="29:31" x14ac:dyDescent="0.2">
      <c r="AC184" s="2"/>
      <c r="AD184" s="2"/>
      <c r="AE184" s="3"/>
    </row>
    <row r="185" spans="29:31" x14ac:dyDescent="0.2">
      <c r="AC185" s="2"/>
      <c r="AD185" s="2"/>
      <c r="AE185" s="3"/>
    </row>
    <row r="186" spans="29:31" x14ac:dyDescent="0.2">
      <c r="AC186" s="2"/>
      <c r="AD186" s="2"/>
      <c r="AE186" s="3"/>
    </row>
    <row r="187" spans="29:31" x14ac:dyDescent="0.2">
      <c r="AC187" s="2"/>
      <c r="AD187" s="2"/>
      <c r="AE187" s="3"/>
    </row>
    <row r="188" spans="29:31" x14ac:dyDescent="0.2">
      <c r="AC188" s="2"/>
      <c r="AD188" s="2"/>
      <c r="AE188" s="3"/>
    </row>
    <row r="189" spans="29:31" x14ac:dyDescent="0.2">
      <c r="AC189" s="2"/>
      <c r="AD189" s="2"/>
      <c r="AE189" s="3"/>
    </row>
    <row r="190" spans="29:31" x14ac:dyDescent="0.2">
      <c r="AC190" s="2"/>
      <c r="AD190" s="2"/>
      <c r="AE190" s="3"/>
    </row>
    <row r="191" spans="29:31" x14ac:dyDescent="0.2">
      <c r="AC191" s="2"/>
      <c r="AD191" s="2"/>
      <c r="AE191" s="3"/>
    </row>
    <row r="192" spans="29:31" x14ac:dyDescent="0.2">
      <c r="AC192" s="2"/>
      <c r="AD192" s="2"/>
      <c r="AE192" s="3"/>
    </row>
    <row r="193" spans="29:31" x14ac:dyDescent="0.2">
      <c r="AC193" s="2"/>
      <c r="AD193" s="2"/>
      <c r="AE193" s="3"/>
    </row>
    <row r="194" spans="29:31" x14ac:dyDescent="0.2">
      <c r="AC194" s="2"/>
      <c r="AD194" s="2"/>
      <c r="AE194" s="3"/>
    </row>
    <row r="195" spans="29:31" x14ac:dyDescent="0.2">
      <c r="AC195" s="2"/>
      <c r="AD195" s="2"/>
      <c r="AE195" s="3"/>
    </row>
    <row r="196" spans="29:31" x14ac:dyDescent="0.2">
      <c r="AC196" s="2"/>
      <c r="AD196" s="2"/>
      <c r="AE196" s="3"/>
    </row>
    <row r="197" spans="29:31" x14ac:dyDescent="0.2">
      <c r="AC197" s="2"/>
      <c r="AD197" s="2"/>
      <c r="AE197" s="3"/>
    </row>
    <row r="198" spans="29:31" x14ac:dyDescent="0.2">
      <c r="AC198" s="2"/>
      <c r="AD198" s="2"/>
      <c r="AE198" s="3"/>
    </row>
    <row r="199" spans="29:31" x14ac:dyDescent="0.2">
      <c r="AC199" s="2"/>
      <c r="AD199" s="2"/>
      <c r="AE199" s="3"/>
    </row>
    <row r="200" spans="29:31" x14ac:dyDescent="0.2">
      <c r="AC200" s="2"/>
      <c r="AD200" s="2"/>
      <c r="AE200" s="3"/>
    </row>
    <row r="201" spans="29:31" x14ac:dyDescent="0.2">
      <c r="AC201" s="2"/>
      <c r="AD201" s="2"/>
      <c r="AE201" s="3"/>
    </row>
    <row r="202" spans="29:31" x14ac:dyDescent="0.2">
      <c r="AC202" s="2"/>
      <c r="AD202" s="2"/>
      <c r="AE202" s="3"/>
    </row>
    <row r="203" spans="29:31" x14ac:dyDescent="0.2">
      <c r="AC203" s="2"/>
      <c r="AD203" s="2"/>
      <c r="AE203" s="3"/>
    </row>
    <row r="204" spans="29:31" x14ac:dyDescent="0.2">
      <c r="AC204" s="2"/>
      <c r="AD204" s="2"/>
      <c r="AE204" s="3"/>
    </row>
    <row r="205" spans="29:31" x14ac:dyDescent="0.2">
      <c r="AC205" s="2"/>
      <c r="AD205" s="2"/>
      <c r="AE205" s="3"/>
    </row>
    <row r="206" spans="29:31" x14ac:dyDescent="0.2">
      <c r="AC206" s="2"/>
      <c r="AD206" s="2"/>
      <c r="AE206" s="3"/>
    </row>
    <row r="207" spans="29:31" x14ac:dyDescent="0.2">
      <c r="AC207" s="2"/>
      <c r="AD207" s="2"/>
      <c r="AE207" s="3"/>
    </row>
    <row r="208" spans="29:31" x14ac:dyDescent="0.2">
      <c r="AC208" s="2"/>
      <c r="AD208" s="2"/>
      <c r="AE208" s="3"/>
    </row>
    <row r="209" spans="29:31" x14ac:dyDescent="0.2">
      <c r="AC209" s="2"/>
      <c r="AD209" s="2"/>
      <c r="AE209" s="3"/>
    </row>
    <row r="210" spans="29:31" x14ac:dyDescent="0.2">
      <c r="AC210" s="2"/>
      <c r="AD210" s="2"/>
      <c r="AE210" s="3"/>
    </row>
    <row r="211" spans="29:31" x14ac:dyDescent="0.2">
      <c r="AC211" s="2"/>
      <c r="AD211" s="2"/>
      <c r="AE211" s="3"/>
    </row>
    <row r="212" spans="29:31" x14ac:dyDescent="0.2">
      <c r="AC212" s="2"/>
      <c r="AD212" s="2"/>
      <c r="AE212" s="3"/>
    </row>
    <row r="213" spans="29:31" x14ac:dyDescent="0.2">
      <c r="AC213" s="2"/>
      <c r="AD213" s="2"/>
      <c r="AE213" s="3"/>
    </row>
    <row r="214" spans="29:31" x14ac:dyDescent="0.2">
      <c r="AC214" s="2"/>
      <c r="AD214" s="2"/>
      <c r="AE214" s="3"/>
    </row>
    <row r="215" spans="29:31" x14ac:dyDescent="0.2">
      <c r="AC215" s="2"/>
      <c r="AD215" s="2"/>
      <c r="AE215" s="3"/>
    </row>
    <row r="216" spans="29:31" x14ac:dyDescent="0.2">
      <c r="AC216" s="2"/>
      <c r="AD216" s="2"/>
      <c r="AE216" s="3"/>
    </row>
    <row r="217" spans="29:31" x14ac:dyDescent="0.2">
      <c r="AC217" s="2"/>
      <c r="AD217" s="2"/>
      <c r="AE217" s="3"/>
    </row>
    <row r="218" spans="29:31" x14ac:dyDescent="0.2">
      <c r="AC218" s="2"/>
      <c r="AD218" s="2"/>
      <c r="AE218" s="3"/>
    </row>
    <row r="219" spans="29:31" x14ac:dyDescent="0.2">
      <c r="AC219" s="2"/>
      <c r="AD219" s="2"/>
      <c r="AE219" s="3"/>
    </row>
    <row r="220" spans="29:31" x14ac:dyDescent="0.2">
      <c r="AC220" s="2"/>
      <c r="AD220" s="2"/>
      <c r="AE220" s="3"/>
    </row>
    <row r="221" spans="29:31" x14ac:dyDescent="0.2">
      <c r="AC221" s="2"/>
      <c r="AD221" s="2"/>
      <c r="AE221" s="3"/>
    </row>
    <row r="222" spans="29:31" x14ac:dyDescent="0.2">
      <c r="AC222" s="2"/>
      <c r="AD222" s="2"/>
      <c r="AE222" s="3"/>
    </row>
    <row r="223" spans="29:31" x14ac:dyDescent="0.2">
      <c r="AC223" s="2"/>
      <c r="AD223" s="2"/>
      <c r="AE223" s="3"/>
    </row>
    <row r="224" spans="29:31" x14ac:dyDescent="0.2">
      <c r="AC224" s="2"/>
      <c r="AD224" s="2"/>
      <c r="AE224" s="3"/>
    </row>
    <row r="225" spans="29:31" x14ac:dyDescent="0.2">
      <c r="AC225" s="2"/>
      <c r="AD225" s="2"/>
      <c r="AE225" s="3"/>
    </row>
    <row r="226" spans="29:31" x14ac:dyDescent="0.2">
      <c r="AC226" s="2"/>
      <c r="AD226" s="2"/>
      <c r="AE226" s="3"/>
    </row>
    <row r="227" spans="29:31" x14ac:dyDescent="0.2">
      <c r="AC227" s="2"/>
      <c r="AD227" s="2"/>
      <c r="AE227" s="3"/>
    </row>
    <row r="228" spans="29:31" x14ac:dyDescent="0.2">
      <c r="AC228" s="2"/>
      <c r="AD228" s="2"/>
      <c r="AE228" s="3"/>
    </row>
    <row r="229" spans="29:31" x14ac:dyDescent="0.2">
      <c r="AC229" s="2"/>
      <c r="AD229" s="2"/>
      <c r="AE229" s="3"/>
    </row>
    <row r="230" spans="29:31" x14ac:dyDescent="0.2">
      <c r="AC230" s="2"/>
      <c r="AD230" s="2"/>
      <c r="AE230" s="3"/>
    </row>
    <row r="231" spans="29:31" x14ac:dyDescent="0.2">
      <c r="AC231" s="2"/>
      <c r="AD231" s="2"/>
      <c r="AE231" s="3"/>
    </row>
    <row r="232" spans="29:31" x14ac:dyDescent="0.2">
      <c r="AC232" s="2"/>
      <c r="AD232" s="2"/>
      <c r="AE232" s="3"/>
    </row>
    <row r="233" spans="29:31" x14ac:dyDescent="0.2">
      <c r="AC233" s="2"/>
      <c r="AD233" s="2"/>
      <c r="AE233" s="3"/>
    </row>
    <row r="234" spans="29:31" x14ac:dyDescent="0.2">
      <c r="AC234" s="2"/>
      <c r="AD234" s="2"/>
      <c r="AE234" s="3"/>
    </row>
    <row r="235" spans="29:31" x14ac:dyDescent="0.2">
      <c r="AC235" s="2"/>
      <c r="AD235" s="2"/>
      <c r="AE235" s="3"/>
    </row>
    <row r="236" spans="29:31" x14ac:dyDescent="0.2">
      <c r="AC236" s="2"/>
      <c r="AD236" s="2"/>
      <c r="AE236" s="3"/>
    </row>
    <row r="237" spans="29:31" x14ac:dyDescent="0.2">
      <c r="AC237" s="2"/>
      <c r="AD237" s="2"/>
      <c r="AE237" s="3"/>
    </row>
    <row r="238" spans="29:31" x14ac:dyDescent="0.2">
      <c r="AC238" s="2"/>
      <c r="AD238" s="2"/>
      <c r="AE238" s="3"/>
    </row>
    <row r="239" spans="29:31" x14ac:dyDescent="0.2">
      <c r="AC239" s="2"/>
      <c r="AD239" s="2"/>
      <c r="AE239" s="3"/>
    </row>
    <row r="240" spans="29:31" x14ac:dyDescent="0.2">
      <c r="AC240" s="2"/>
      <c r="AD240" s="2"/>
      <c r="AE240" s="3"/>
    </row>
    <row r="241" spans="29:31" x14ac:dyDescent="0.2">
      <c r="AC241" s="2"/>
      <c r="AD241" s="2"/>
      <c r="AE241" s="3"/>
    </row>
    <row r="242" spans="29:31" x14ac:dyDescent="0.2">
      <c r="AC242" s="2"/>
      <c r="AD242" s="2"/>
      <c r="AE242" s="3"/>
    </row>
    <row r="243" spans="29:31" x14ac:dyDescent="0.2">
      <c r="AC243" s="2"/>
      <c r="AD243" s="2"/>
      <c r="AE243" s="3"/>
    </row>
    <row r="244" spans="29:31" x14ac:dyDescent="0.2">
      <c r="AC244" s="2"/>
      <c r="AD244" s="2"/>
      <c r="AE244" s="3"/>
    </row>
    <row r="245" spans="29:31" x14ac:dyDescent="0.2">
      <c r="AC245" s="2"/>
      <c r="AD245" s="2"/>
      <c r="AE245" s="3"/>
    </row>
    <row r="246" spans="29:31" x14ac:dyDescent="0.2">
      <c r="AC246" s="2"/>
      <c r="AD246" s="2"/>
      <c r="AE246" s="3"/>
    </row>
    <row r="247" spans="29:31" x14ac:dyDescent="0.2">
      <c r="AC247" s="2"/>
      <c r="AD247" s="2"/>
      <c r="AE247" s="3"/>
    </row>
    <row r="248" spans="29:31" x14ac:dyDescent="0.2">
      <c r="AC248" s="2"/>
      <c r="AD248" s="2"/>
      <c r="AE248" s="3"/>
    </row>
    <row r="249" spans="29:31" x14ac:dyDescent="0.2">
      <c r="AC249" s="2"/>
      <c r="AD249" s="2"/>
      <c r="AE249" s="3"/>
    </row>
    <row r="250" spans="29:31" x14ac:dyDescent="0.2">
      <c r="AC250" s="2"/>
      <c r="AD250" s="2"/>
      <c r="AE250" s="3"/>
    </row>
    <row r="251" spans="29:31" x14ac:dyDescent="0.2">
      <c r="AC251" s="2"/>
      <c r="AD251" s="2"/>
      <c r="AE251" s="3"/>
    </row>
    <row r="252" spans="29:31" x14ac:dyDescent="0.2">
      <c r="AC252" s="2"/>
      <c r="AD252" s="2"/>
      <c r="AE252" s="3"/>
    </row>
    <row r="253" spans="29:31" x14ac:dyDescent="0.2">
      <c r="AC253" s="2"/>
      <c r="AD253" s="2"/>
      <c r="AE253" s="3"/>
    </row>
    <row r="254" spans="29:31" x14ac:dyDescent="0.2">
      <c r="AC254" s="2"/>
      <c r="AD254" s="2"/>
      <c r="AE254" s="3"/>
    </row>
    <row r="255" spans="29:31" x14ac:dyDescent="0.2">
      <c r="AC255" s="2"/>
      <c r="AD255" s="2"/>
      <c r="AE255" s="3"/>
    </row>
    <row r="256" spans="29:31" x14ac:dyDescent="0.2">
      <c r="AC256" s="2"/>
      <c r="AD256" s="2"/>
      <c r="AE256" s="3"/>
    </row>
    <row r="257" spans="29:31" x14ac:dyDescent="0.2">
      <c r="AC257" s="2"/>
      <c r="AD257" s="2"/>
      <c r="AE257" s="3"/>
    </row>
    <row r="258" spans="29:31" x14ac:dyDescent="0.2">
      <c r="AC258" s="2"/>
      <c r="AD258" s="2"/>
      <c r="AE258" s="3"/>
    </row>
    <row r="259" spans="29:31" x14ac:dyDescent="0.2">
      <c r="AC259" s="2"/>
      <c r="AD259" s="2"/>
      <c r="AE259" s="3"/>
    </row>
    <row r="260" spans="29:31" x14ac:dyDescent="0.2">
      <c r="AC260" s="2"/>
      <c r="AD260" s="2"/>
      <c r="AE260" s="3"/>
    </row>
    <row r="261" spans="29:31" x14ac:dyDescent="0.2">
      <c r="AC261" s="2"/>
      <c r="AD261" s="2"/>
      <c r="AE261" s="3"/>
    </row>
    <row r="262" spans="29:31" x14ac:dyDescent="0.2">
      <c r="AC262" s="2"/>
      <c r="AD262" s="2"/>
      <c r="AE262" s="3"/>
    </row>
    <row r="263" spans="29:31" x14ac:dyDescent="0.2">
      <c r="AC263" s="2"/>
      <c r="AD263" s="2"/>
      <c r="AE263" s="3"/>
    </row>
    <row r="264" spans="29:31" x14ac:dyDescent="0.2">
      <c r="AC264" s="2"/>
      <c r="AD264" s="2"/>
      <c r="AE264" s="3"/>
    </row>
    <row r="265" spans="29:31" x14ac:dyDescent="0.2">
      <c r="AC265" s="2"/>
      <c r="AD265" s="2"/>
      <c r="AE265" s="3"/>
    </row>
    <row r="266" spans="29:31" x14ac:dyDescent="0.2">
      <c r="AC266" s="2"/>
      <c r="AD266" s="2"/>
      <c r="AE266" s="3"/>
    </row>
    <row r="267" spans="29:31" x14ac:dyDescent="0.2">
      <c r="AC267" s="2"/>
      <c r="AD267" s="2"/>
      <c r="AE267" s="3"/>
    </row>
    <row r="268" spans="29:31" x14ac:dyDescent="0.2">
      <c r="AC268" s="2"/>
      <c r="AD268" s="2"/>
      <c r="AE268" s="3"/>
    </row>
    <row r="269" spans="29:31" x14ac:dyDescent="0.2">
      <c r="AC269" s="2"/>
      <c r="AD269" s="2"/>
      <c r="AE269" s="3"/>
    </row>
    <row r="270" spans="29:31" x14ac:dyDescent="0.2">
      <c r="AC270" s="2"/>
      <c r="AD270" s="2"/>
      <c r="AE270" s="3"/>
    </row>
    <row r="271" spans="29:31" x14ac:dyDescent="0.2">
      <c r="AC271" s="2"/>
      <c r="AD271" s="2"/>
      <c r="AE271" s="3"/>
    </row>
    <row r="272" spans="29:31" x14ac:dyDescent="0.2">
      <c r="AC272" s="2"/>
      <c r="AD272" s="2"/>
      <c r="AE272" s="3"/>
    </row>
    <row r="273" spans="29:31" x14ac:dyDescent="0.2">
      <c r="AC273" s="2"/>
      <c r="AD273" s="2"/>
      <c r="AE273" s="3"/>
    </row>
    <row r="274" spans="29:31" x14ac:dyDescent="0.2">
      <c r="AC274" s="2"/>
      <c r="AD274" s="2"/>
      <c r="AE274" s="3"/>
    </row>
    <row r="275" spans="29:31" x14ac:dyDescent="0.2">
      <c r="AC275" s="2"/>
      <c r="AD275" s="2"/>
      <c r="AE275" s="3"/>
    </row>
    <row r="276" spans="29:31" x14ac:dyDescent="0.2">
      <c r="AC276" s="2"/>
      <c r="AD276" s="2"/>
      <c r="AE276" s="3"/>
    </row>
    <row r="277" spans="29:31" x14ac:dyDescent="0.2">
      <c r="AC277" s="2"/>
      <c r="AD277" s="2"/>
      <c r="AE277" s="3"/>
    </row>
    <row r="278" spans="29:31" x14ac:dyDescent="0.2">
      <c r="AC278" s="2"/>
      <c r="AD278" s="2"/>
      <c r="AE278" s="3"/>
    </row>
    <row r="279" spans="29:31" x14ac:dyDescent="0.2">
      <c r="AC279" s="2"/>
      <c r="AD279" s="2"/>
      <c r="AE279" s="3"/>
    </row>
    <row r="280" spans="29:31" x14ac:dyDescent="0.2">
      <c r="AC280" s="2"/>
      <c r="AD280" s="2"/>
      <c r="AE280" s="3"/>
    </row>
    <row r="281" spans="29:31" x14ac:dyDescent="0.2">
      <c r="AC281" s="2"/>
      <c r="AD281" s="2"/>
      <c r="AE281" s="3"/>
    </row>
    <row r="282" spans="29:31" x14ac:dyDescent="0.2">
      <c r="AC282" s="2"/>
      <c r="AD282" s="2"/>
      <c r="AE282" s="3"/>
    </row>
    <row r="283" spans="29:31" x14ac:dyDescent="0.2">
      <c r="AC283" s="2"/>
      <c r="AD283" s="2"/>
      <c r="AE283" s="3"/>
    </row>
    <row r="284" spans="29:31" x14ac:dyDescent="0.2">
      <c r="AC284" s="2"/>
      <c r="AD284" s="2"/>
      <c r="AE284" s="3"/>
    </row>
    <row r="285" spans="29:31" x14ac:dyDescent="0.2">
      <c r="AC285" s="2"/>
      <c r="AD285" s="2"/>
      <c r="AE285" s="3"/>
    </row>
    <row r="286" spans="29:31" x14ac:dyDescent="0.2">
      <c r="AC286" s="2"/>
      <c r="AD286" s="2"/>
      <c r="AE286" s="3"/>
    </row>
    <row r="287" spans="29:31" x14ac:dyDescent="0.2">
      <c r="AC287" s="2"/>
      <c r="AD287" s="2"/>
      <c r="AE287" s="3"/>
    </row>
    <row r="288" spans="29:31" x14ac:dyDescent="0.2">
      <c r="AC288" s="2"/>
      <c r="AD288" s="2"/>
      <c r="AE288" s="3"/>
    </row>
    <row r="289" spans="29:31" x14ac:dyDescent="0.2">
      <c r="AC289" s="2"/>
      <c r="AD289" s="2"/>
      <c r="AE289" s="3"/>
    </row>
    <row r="290" spans="29:31" x14ac:dyDescent="0.2">
      <c r="AC290" s="2"/>
      <c r="AD290" s="2"/>
      <c r="AE290" s="3"/>
    </row>
    <row r="291" spans="29:31" x14ac:dyDescent="0.2">
      <c r="AC291" s="2"/>
      <c r="AD291" s="2"/>
      <c r="AE291" s="3"/>
    </row>
    <row r="292" spans="29:31" x14ac:dyDescent="0.2">
      <c r="AC292" s="2"/>
      <c r="AD292" s="2"/>
      <c r="AE292" s="3"/>
    </row>
    <row r="293" spans="29:31" x14ac:dyDescent="0.2">
      <c r="AC293" s="2"/>
      <c r="AD293" s="2"/>
      <c r="AE293" s="3"/>
    </row>
    <row r="294" spans="29:31" x14ac:dyDescent="0.2">
      <c r="AC294" s="2"/>
      <c r="AD294" s="2"/>
      <c r="AE294" s="3"/>
    </row>
    <row r="295" spans="29:31" x14ac:dyDescent="0.2">
      <c r="AC295" s="2"/>
      <c r="AD295" s="2"/>
      <c r="AE295" s="3"/>
    </row>
    <row r="296" spans="29:31" x14ac:dyDescent="0.2">
      <c r="AC296" s="2"/>
      <c r="AD296" s="2"/>
      <c r="AE296" s="3"/>
    </row>
    <row r="297" spans="29:31" x14ac:dyDescent="0.2">
      <c r="AC297" s="2"/>
      <c r="AD297" s="2"/>
      <c r="AE297" s="3"/>
    </row>
    <row r="298" spans="29:31" x14ac:dyDescent="0.2">
      <c r="AC298" s="2"/>
      <c r="AD298" s="2"/>
      <c r="AE298" s="3"/>
    </row>
    <row r="299" spans="29:31" x14ac:dyDescent="0.2">
      <c r="AC299" s="2"/>
      <c r="AD299" s="2"/>
      <c r="AE299" s="3"/>
    </row>
    <row r="300" spans="29:31" x14ac:dyDescent="0.2">
      <c r="AC300" s="2"/>
      <c r="AD300" s="2"/>
      <c r="AE300" s="3"/>
    </row>
    <row r="301" spans="29:31" x14ac:dyDescent="0.2">
      <c r="AC301" s="2"/>
      <c r="AD301" s="2"/>
      <c r="AE301" s="3"/>
    </row>
    <row r="302" spans="29:31" x14ac:dyDescent="0.2">
      <c r="AC302" s="2"/>
      <c r="AD302" s="2"/>
      <c r="AE302" s="3"/>
    </row>
    <row r="303" spans="29:31" x14ac:dyDescent="0.2">
      <c r="AC303" s="2"/>
      <c r="AD303" s="2"/>
      <c r="AE303" s="3"/>
    </row>
    <row r="304" spans="29:31" x14ac:dyDescent="0.2">
      <c r="AC304" s="2"/>
      <c r="AD304" s="2"/>
      <c r="AE304" s="3"/>
    </row>
    <row r="305" spans="29:31" x14ac:dyDescent="0.2">
      <c r="AC305" s="2"/>
      <c r="AD305" s="2"/>
      <c r="AE305" s="3"/>
    </row>
    <row r="306" spans="29:31" x14ac:dyDescent="0.2">
      <c r="AC306" s="2"/>
      <c r="AD306" s="2"/>
      <c r="AE306" s="3"/>
    </row>
    <row r="307" spans="29:31" x14ac:dyDescent="0.2">
      <c r="AC307" s="2"/>
      <c r="AD307" s="2"/>
      <c r="AE307" s="3"/>
    </row>
    <row r="308" spans="29:31" x14ac:dyDescent="0.2">
      <c r="AC308" s="2"/>
      <c r="AD308" s="2"/>
      <c r="AE308" s="3"/>
    </row>
    <row r="309" spans="29:31" x14ac:dyDescent="0.2">
      <c r="AC309" s="2"/>
      <c r="AD309" s="2"/>
      <c r="AE309" s="3"/>
    </row>
    <row r="310" spans="29:31" x14ac:dyDescent="0.2">
      <c r="AC310" s="2"/>
      <c r="AD310" s="2"/>
      <c r="AE310" s="3"/>
    </row>
    <row r="311" spans="29:31" x14ac:dyDescent="0.2">
      <c r="AC311" s="2"/>
      <c r="AD311" s="2"/>
      <c r="AE311" s="3"/>
    </row>
    <row r="312" spans="29:31" x14ac:dyDescent="0.2">
      <c r="AC312" s="2"/>
      <c r="AD312" s="2"/>
      <c r="AE312" s="3"/>
    </row>
    <row r="313" spans="29:31" x14ac:dyDescent="0.2">
      <c r="AC313" s="2"/>
      <c r="AD313" s="2"/>
      <c r="AE313" s="3"/>
    </row>
    <row r="314" spans="29:31" x14ac:dyDescent="0.2">
      <c r="AC314" s="2"/>
      <c r="AD314" s="2"/>
      <c r="AE314" s="3"/>
    </row>
    <row r="315" spans="29:31" x14ac:dyDescent="0.2">
      <c r="AC315" s="2"/>
      <c r="AD315" s="2"/>
      <c r="AE315" s="3"/>
    </row>
    <row r="316" spans="29:31" x14ac:dyDescent="0.2">
      <c r="AC316" s="2"/>
      <c r="AD316" s="2"/>
      <c r="AE316" s="3"/>
    </row>
    <row r="317" spans="29:31" x14ac:dyDescent="0.2">
      <c r="AC317" s="2"/>
      <c r="AD317" s="2"/>
      <c r="AE317" s="3"/>
    </row>
    <row r="318" spans="29:31" x14ac:dyDescent="0.2">
      <c r="AC318" s="2"/>
      <c r="AD318" s="2"/>
      <c r="AE318" s="3"/>
    </row>
    <row r="319" spans="29:31" x14ac:dyDescent="0.2">
      <c r="AC319" s="2"/>
      <c r="AD319" s="2"/>
      <c r="AE319" s="3"/>
    </row>
    <row r="320" spans="29:31" x14ac:dyDescent="0.2">
      <c r="AC320" s="2"/>
      <c r="AD320" s="2"/>
      <c r="AE320" s="3"/>
    </row>
    <row r="321" spans="29:31" x14ac:dyDescent="0.2">
      <c r="AC321" s="2"/>
      <c r="AD321" s="2"/>
      <c r="AE321" s="3"/>
    </row>
    <row r="322" spans="29:31" x14ac:dyDescent="0.2">
      <c r="AC322" s="2"/>
      <c r="AD322" s="2"/>
      <c r="AE322" s="3"/>
    </row>
    <row r="323" spans="29:31" x14ac:dyDescent="0.2">
      <c r="AC323" s="2"/>
      <c r="AD323" s="2"/>
      <c r="AE323" s="3"/>
    </row>
    <row r="324" spans="29:31" x14ac:dyDescent="0.2">
      <c r="AC324" s="2"/>
      <c r="AD324" s="2"/>
      <c r="AE324" s="3"/>
    </row>
    <row r="325" spans="29:31" x14ac:dyDescent="0.2">
      <c r="AC325" s="2"/>
      <c r="AD325" s="2"/>
      <c r="AE325" s="3"/>
    </row>
    <row r="326" spans="29:31" x14ac:dyDescent="0.2">
      <c r="AC326" s="2"/>
      <c r="AD326" s="2"/>
      <c r="AE326" s="3"/>
    </row>
    <row r="327" spans="29:31" x14ac:dyDescent="0.2">
      <c r="AC327" s="2"/>
      <c r="AD327" s="2"/>
      <c r="AE327" s="3"/>
    </row>
    <row r="328" spans="29:31" x14ac:dyDescent="0.2">
      <c r="AC328" s="2"/>
      <c r="AD328" s="2"/>
      <c r="AE328" s="3"/>
    </row>
    <row r="329" spans="29:31" x14ac:dyDescent="0.2">
      <c r="AC329" s="2"/>
      <c r="AD329" s="2"/>
      <c r="AE329" s="3"/>
    </row>
    <row r="330" spans="29:31" x14ac:dyDescent="0.2">
      <c r="AC330" s="2"/>
      <c r="AD330" s="2"/>
      <c r="AE330" s="3"/>
    </row>
    <row r="331" spans="29:31" x14ac:dyDescent="0.2">
      <c r="AC331" s="2"/>
      <c r="AD331" s="2"/>
      <c r="AE331" s="3"/>
    </row>
    <row r="332" spans="29:31" x14ac:dyDescent="0.2">
      <c r="AC332" s="2"/>
      <c r="AD332" s="2"/>
      <c r="AE332" s="3"/>
    </row>
    <row r="333" spans="29:31" x14ac:dyDescent="0.2">
      <c r="AC333" s="2"/>
      <c r="AD333" s="2"/>
      <c r="AE333" s="3"/>
    </row>
    <row r="334" spans="29:31" x14ac:dyDescent="0.2">
      <c r="AC334" s="2"/>
      <c r="AD334" s="2"/>
      <c r="AE334" s="3"/>
    </row>
    <row r="335" spans="29:31" x14ac:dyDescent="0.2">
      <c r="AC335" s="2"/>
      <c r="AD335" s="2"/>
      <c r="AE335" s="3"/>
    </row>
    <row r="336" spans="29:31" x14ac:dyDescent="0.2">
      <c r="AC336" s="2"/>
      <c r="AD336" s="2"/>
      <c r="AE336" s="3"/>
    </row>
    <row r="337" spans="29:31" x14ac:dyDescent="0.2">
      <c r="AC337" s="2"/>
      <c r="AD337" s="2"/>
      <c r="AE337" s="3"/>
    </row>
    <row r="338" spans="29:31" x14ac:dyDescent="0.2">
      <c r="AC338" s="2"/>
      <c r="AD338" s="2"/>
      <c r="AE338" s="3"/>
    </row>
    <row r="339" spans="29:31" x14ac:dyDescent="0.2">
      <c r="AC339" s="2"/>
      <c r="AD339" s="2"/>
      <c r="AE339" s="3"/>
    </row>
    <row r="340" spans="29:31" x14ac:dyDescent="0.2">
      <c r="AC340" s="2"/>
      <c r="AD340" s="2"/>
      <c r="AE340" s="3"/>
    </row>
    <row r="341" spans="29:31" x14ac:dyDescent="0.2">
      <c r="AC341" s="2"/>
      <c r="AD341" s="2"/>
      <c r="AE341" s="3"/>
    </row>
    <row r="342" spans="29:31" x14ac:dyDescent="0.2">
      <c r="AC342" s="2"/>
      <c r="AD342" s="2"/>
      <c r="AE342" s="3"/>
    </row>
    <row r="343" spans="29:31" x14ac:dyDescent="0.2">
      <c r="AC343" s="2"/>
      <c r="AD343" s="2"/>
      <c r="AE343" s="3"/>
    </row>
    <row r="344" spans="29:31" x14ac:dyDescent="0.2">
      <c r="AC344" s="2"/>
      <c r="AD344" s="2"/>
      <c r="AE344" s="3"/>
    </row>
    <row r="345" spans="29:31" x14ac:dyDescent="0.2">
      <c r="AC345" s="2"/>
      <c r="AD345" s="2"/>
      <c r="AE345" s="3"/>
    </row>
    <row r="346" spans="29:31" x14ac:dyDescent="0.2">
      <c r="AC346" s="2"/>
      <c r="AD346" s="2"/>
      <c r="AE346" s="3"/>
    </row>
    <row r="347" spans="29:31" x14ac:dyDescent="0.2">
      <c r="AC347" s="2"/>
      <c r="AD347" s="2"/>
      <c r="AE347" s="3"/>
    </row>
    <row r="348" spans="29:31" x14ac:dyDescent="0.2">
      <c r="AC348" s="2"/>
      <c r="AD348" s="2"/>
      <c r="AE348" s="3"/>
    </row>
    <row r="349" spans="29:31" x14ac:dyDescent="0.2">
      <c r="AC349" s="2"/>
      <c r="AD349" s="2"/>
      <c r="AE349" s="3"/>
    </row>
    <row r="350" spans="29:31" x14ac:dyDescent="0.2">
      <c r="AC350" s="2"/>
      <c r="AD350" s="2"/>
      <c r="AE350" s="3"/>
    </row>
    <row r="351" spans="29:31" x14ac:dyDescent="0.2">
      <c r="AC351" s="2"/>
      <c r="AD351" s="2"/>
      <c r="AE351" s="3"/>
    </row>
    <row r="352" spans="29:31" x14ac:dyDescent="0.2">
      <c r="AC352" s="2"/>
      <c r="AD352" s="2"/>
      <c r="AE352" s="3"/>
    </row>
    <row r="353" spans="29:31" x14ac:dyDescent="0.2">
      <c r="AC353" s="2"/>
      <c r="AD353" s="2"/>
      <c r="AE353" s="3"/>
    </row>
    <row r="354" spans="29:31" x14ac:dyDescent="0.2">
      <c r="AC354" s="2"/>
      <c r="AD354" s="2"/>
      <c r="AE354" s="3"/>
    </row>
    <row r="355" spans="29:31" x14ac:dyDescent="0.2">
      <c r="AC355" s="2"/>
      <c r="AD355" s="2"/>
      <c r="AE355" s="3"/>
    </row>
    <row r="356" spans="29:31" x14ac:dyDescent="0.2">
      <c r="AC356" s="2"/>
      <c r="AD356" s="2"/>
      <c r="AE356" s="3"/>
    </row>
    <row r="357" spans="29:31" x14ac:dyDescent="0.2">
      <c r="AC357" s="2"/>
      <c r="AD357" s="2"/>
      <c r="AE357" s="3"/>
    </row>
    <row r="358" spans="29:31" x14ac:dyDescent="0.2">
      <c r="AC358" s="2"/>
      <c r="AD358" s="2"/>
      <c r="AE358" s="3"/>
    </row>
    <row r="359" spans="29:31" x14ac:dyDescent="0.2">
      <c r="AC359" s="2"/>
      <c r="AD359" s="2"/>
      <c r="AE359" s="3"/>
    </row>
    <row r="360" spans="29:31" x14ac:dyDescent="0.2">
      <c r="AC360" s="2"/>
      <c r="AD360" s="2"/>
      <c r="AE360" s="3"/>
    </row>
    <row r="361" spans="29:31" x14ac:dyDescent="0.2">
      <c r="AC361" s="2"/>
      <c r="AD361" s="2"/>
      <c r="AE361" s="3"/>
    </row>
    <row r="362" spans="29:31" x14ac:dyDescent="0.2">
      <c r="AC362" s="2"/>
      <c r="AD362" s="2"/>
      <c r="AE362" s="3"/>
    </row>
    <row r="363" spans="29:31" x14ac:dyDescent="0.2">
      <c r="AC363" s="2"/>
      <c r="AD363" s="2"/>
      <c r="AE363" s="3"/>
    </row>
    <row r="364" spans="29:31" x14ac:dyDescent="0.2">
      <c r="AC364" s="2"/>
      <c r="AD364" s="2"/>
      <c r="AE364" s="3"/>
    </row>
    <row r="365" spans="29:31" x14ac:dyDescent="0.2">
      <c r="AC365" s="2"/>
      <c r="AD365" s="2"/>
      <c r="AE365" s="3"/>
    </row>
    <row r="366" spans="29:31" x14ac:dyDescent="0.2">
      <c r="AC366" s="2"/>
      <c r="AD366" s="2"/>
      <c r="AE366" s="3"/>
    </row>
    <row r="367" spans="29:31" x14ac:dyDescent="0.2">
      <c r="AC367" s="2"/>
      <c r="AD367" s="2"/>
      <c r="AE367" s="3"/>
    </row>
    <row r="368" spans="29:31" x14ac:dyDescent="0.2">
      <c r="AC368" s="2"/>
      <c r="AD368" s="2"/>
      <c r="AE368" s="3"/>
    </row>
    <row r="369" spans="29:31" x14ac:dyDescent="0.2">
      <c r="AC369" s="2"/>
      <c r="AD369" s="2"/>
      <c r="AE369" s="3"/>
    </row>
    <row r="370" spans="29:31" x14ac:dyDescent="0.2">
      <c r="AC370" s="2"/>
      <c r="AD370" s="2"/>
      <c r="AE370" s="3"/>
    </row>
    <row r="371" spans="29:31" x14ac:dyDescent="0.2">
      <c r="AC371" s="2"/>
      <c r="AD371" s="2"/>
      <c r="AE371" s="3"/>
    </row>
    <row r="372" spans="29:31" x14ac:dyDescent="0.2">
      <c r="AC372" s="2"/>
      <c r="AD372" s="2"/>
      <c r="AE372" s="3"/>
    </row>
    <row r="373" spans="29:31" x14ac:dyDescent="0.2">
      <c r="AC373" s="2"/>
      <c r="AD373" s="2"/>
      <c r="AE373" s="3"/>
    </row>
    <row r="374" spans="29:31" x14ac:dyDescent="0.2">
      <c r="AC374" s="2"/>
      <c r="AD374" s="2"/>
      <c r="AE374" s="3"/>
    </row>
    <row r="375" spans="29:31" x14ac:dyDescent="0.2">
      <c r="AC375" s="2"/>
      <c r="AD375" s="2"/>
      <c r="AE375" s="3"/>
    </row>
    <row r="376" spans="29:31" x14ac:dyDescent="0.2">
      <c r="AC376" s="2"/>
      <c r="AD376" s="2"/>
      <c r="AE376" s="3"/>
    </row>
    <row r="377" spans="29:31" x14ac:dyDescent="0.2">
      <c r="AC377" s="2"/>
      <c r="AD377" s="2"/>
      <c r="AE377" s="3"/>
    </row>
    <row r="378" spans="29:31" x14ac:dyDescent="0.2">
      <c r="AC378" s="2"/>
      <c r="AD378" s="2"/>
      <c r="AE378" s="3"/>
    </row>
    <row r="379" spans="29:31" x14ac:dyDescent="0.2">
      <c r="AC379" s="2"/>
      <c r="AD379" s="2"/>
      <c r="AE379" s="3"/>
    </row>
    <row r="380" spans="29:31" x14ac:dyDescent="0.2">
      <c r="AC380" s="2"/>
      <c r="AD380" s="2"/>
      <c r="AE380" s="3"/>
    </row>
    <row r="381" spans="29:31" x14ac:dyDescent="0.2">
      <c r="AC381" s="2"/>
      <c r="AD381" s="2"/>
      <c r="AE381" s="3"/>
    </row>
    <row r="382" spans="29:31" x14ac:dyDescent="0.2">
      <c r="AC382" s="2"/>
      <c r="AD382" s="2"/>
      <c r="AE382" s="3"/>
    </row>
    <row r="383" spans="29:31" x14ac:dyDescent="0.2">
      <c r="AC383" s="2"/>
      <c r="AD383" s="2"/>
      <c r="AE383" s="3"/>
    </row>
    <row r="384" spans="29:31" x14ac:dyDescent="0.2">
      <c r="AC384" s="2"/>
      <c r="AD384" s="2"/>
      <c r="AE384" s="3"/>
    </row>
    <row r="385" spans="29:31" x14ac:dyDescent="0.2">
      <c r="AC385" s="2"/>
      <c r="AD385" s="2"/>
      <c r="AE385" s="3"/>
    </row>
    <row r="386" spans="29:31" x14ac:dyDescent="0.2">
      <c r="AC386" s="2"/>
      <c r="AD386" s="2"/>
      <c r="AE386" s="3"/>
    </row>
    <row r="387" spans="29:31" x14ac:dyDescent="0.2">
      <c r="AC387" s="2"/>
      <c r="AD387" s="2"/>
      <c r="AE387" s="3"/>
    </row>
    <row r="388" spans="29:31" x14ac:dyDescent="0.2">
      <c r="AC388" s="2"/>
      <c r="AD388" s="2"/>
      <c r="AE388" s="3"/>
    </row>
    <row r="389" spans="29:31" x14ac:dyDescent="0.2">
      <c r="AC389" s="2"/>
      <c r="AD389" s="2"/>
      <c r="AE389" s="3"/>
    </row>
    <row r="390" spans="29:31" x14ac:dyDescent="0.2">
      <c r="AC390" s="2"/>
      <c r="AD390" s="2"/>
      <c r="AE390" s="3"/>
    </row>
    <row r="391" spans="29:31" x14ac:dyDescent="0.2">
      <c r="AC391" s="2"/>
      <c r="AD391" s="2"/>
      <c r="AE391" s="3"/>
    </row>
    <row r="392" spans="29:31" x14ac:dyDescent="0.2">
      <c r="AC392" s="2"/>
      <c r="AD392" s="2"/>
      <c r="AE392" s="3"/>
    </row>
    <row r="393" spans="29:31" x14ac:dyDescent="0.2">
      <c r="AC393" s="2"/>
      <c r="AD393" s="2"/>
      <c r="AE393" s="3"/>
    </row>
    <row r="394" spans="29:31" x14ac:dyDescent="0.2">
      <c r="AC394" s="2"/>
      <c r="AD394" s="2"/>
      <c r="AE394" s="3"/>
    </row>
    <row r="395" spans="29:31" x14ac:dyDescent="0.2">
      <c r="AC395" s="2"/>
      <c r="AD395" s="2"/>
      <c r="AE395" s="3"/>
    </row>
    <row r="396" spans="29:31" x14ac:dyDescent="0.2">
      <c r="AC396" s="2"/>
      <c r="AD396" s="2"/>
      <c r="AE396" s="3"/>
    </row>
    <row r="397" spans="29:31" x14ac:dyDescent="0.2">
      <c r="AC397" s="2"/>
      <c r="AD397" s="2"/>
      <c r="AE397" s="3"/>
    </row>
    <row r="398" spans="29:31" x14ac:dyDescent="0.2">
      <c r="AC398" s="2"/>
      <c r="AD398" s="2"/>
      <c r="AE398" s="3"/>
    </row>
    <row r="399" spans="29:31" x14ac:dyDescent="0.2">
      <c r="AC399" s="2"/>
      <c r="AD399" s="2"/>
      <c r="AE399" s="3"/>
    </row>
    <row r="400" spans="29:31" x14ac:dyDescent="0.2">
      <c r="AC400" s="2"/>
      <c r="AD400" s="2"/>
      <c r="AE400" s="3"/>
    </row>
    <row r="401" spans="29:31" x14ac:dyDescent="0.2">
      <c r="AC401" s="2"/>
      <c r="AD401" s="2"/>
      <c r="AE401" s="3"/>
    </row>
    <row r="402" spans="29:31" x14ac:dyDescent="0.2">
      <c r="AC402" s="2"/>
      <c r="AD402" s="2"/>
      <c r="AE402" s="3"/>
    </row>
    <row r="403" spans="29:31" x14ac:dyDescent="0.2">
      <c r="AC403" s="2"/>
      <c r="AD403" s="2"/>
      <c r="AE403" s="3"/>
    </row>
    <row r="404" spans="29:31" x14ac:dyDescent="0.2">
      <c r="AC404" s="2"/>
      <c r="AD404" s="2"/>
      <c r="AE404" s="3"/>
    </row>
    <row r="405" spans="29:31" x14ac:dyDescent="0.2">
      <c r="AC405" s="2"/>
      <c r="AD405" s="2"/>
      <c r="AE405" s="3"/>
    </row>
    <row r="406" spans="29:31" x14ac:dyDescent="0.2">
      <c r="AC406" s="2"/>
      <c r="AD406" s="2"/>
      <c r="AE406" s="3"/>
    </row>
    <row r="407" spans="29:31" x14ac:dyDescent="0.2">
      <c r="AC407" s="2"/>
      <c r="AD407" s="2"/>
      <c r="AE407" s="3"/>
    </row>
    <row r="408" spans="29:31" x14ac:dyDescent="0.2">
      <c r="AC408" s="2"/>
      <c r="AD408" s="2"/>
      <c r="AE408" s="3"/>
    </row>
    <row r="409" spans="29:31" x14ac:dyDescent="0.2">
      <c r="AC409" s="2"/>
      <c r="AD409" s="2"/>
      <c r="AE409" s="3"/>
    </row>
    <row r="410" spans="29:31" x14ac:dyDescent="0.2">
      <c r="AC410" s="2"/>
      <c r="AD410" s="2"/>
      <c r="AE410" s="3"/>
    </row>
    <row r="411" spans="29:31" x14ac:dyDescent="0.2">
      <c r="AC411" s="2"/>
      <c r="AD411" s="2"/>
      <c r="AE411" s="3"/>
    </row>
    <row r="412" spans="29:31" x14ac:dyDescent="0.2">
      <c r="AC412" s="2"/>
      <c r="AD412" s="2"/>
      <c r="AE412" s="3"/>
    </row>
    <row r="413" spans="29:31" x14ac:dyDescent="0.2">
      <c r="AC413" s="2"/>
      <c r="AD413" s="2"/>
      <c r="AE413" s="3"/>
    </row>
    <row r="414" spans="29:31" x14ac:dyDescent="0.2">
      <c r="AC414" s="2"/>
      <c r="AD414" s="2"/>
      <c r="AE414" s="3"/>
    </row>
    <row r="415" spans="29:31" x14ac:dyDescent="0.2">
      <c r="AC415" s="2"/>
      <c r="AD415" s="2"/>
      <c r="AE415" s="3"/>
    </row>
    <row r="416" spans="29:31" x14ac:dyDescent="0.2">
      <c r="AC416" s="2"/>
      <c r="AD416" s="2"/>
      <c r="AE416" s="3"/>
    </row>
    <row r="417" spans="29:31" x14ac:dyDescent="0.2">
      <c r="AC417" s="2"/>
      <c r="AD417" s="2"/>
      <c r="AE417" s="3"/>
    </row>
    <row r="418" spans="29:31" x14ac:dyDescent="0.2">
      <c r="AC418" s="2"/>
      <c r="AD418" s="2"/>
      <c r="AE418" s="3"/>
    </row>
    <row r="419" spans="29:31" x14ac:dyDescent="0.2">
      <c r="AC419" s="2"/>
      <c r="AD419" s="2"/>
      <c r="AE419" s="3"/>
    </row>
    <row r="420" spans="29:31" x14ac:dyDescent="0.2">
      <c r="AC420" s="2"/>
      <c r="AD420" s="2"/>
      <c r="AE420" s="3"/>
    </row>
    <row r="421" spans="29:31" x14ac:dyDescent="0.2">
      <c r="AC421" s="2"/>
      <c r="AD421" s="2"/>
      <c r="AE421" s="3"/>
    </row>
    <row r="422" spans="29:31" x14ac:dyDescent="0.2">
      <c r="AC422" s="2"/>
      <c r="AD422" s="2"/>
      <c r="AE422" s="3"/>
    </row>
    <row r="423" spans="29:31" x14ac:dyDescent="0.2">
      <c r="AC423" s="2"/>
      <c r="AD423" s="2"/>
      <c r="AE423" s="3"/>
    </row>
    <row r="424" spans="29:31" x14ac:dyDescent="0.2">
      <c r="AC424" s="2"/>
      <c r="AD424" s="2"/>
      <c r="AE424" s="3"/>
    </row>
    <row r="425" spans="29:31" x14ac:dyDescent="0.2">
      <c r="AC425" s="2"/>
      <c r="AD425" s="2"/>
      <c r="AE425" s="3"/>
    </row>
    <row r="426" spans="29:31" x14ac:dyDescent="0.2">
      <c r="AC426" s="2"/>
      <c r="AD426" s="2"/>
      <c r="AE426" s="3"/>
    </row>
    <row r="427" spans="29:31" x14ac:dyDescent="0.2">
      <c r="AC427" s="2"/>
      <c r="AD427" s="2"/>
      <c r="AE427" s="3"/>
    </row>
    <row r="428" spans="29:31" x14ac:dyDescent="0.2">
      <c r="AC428" s="2"/>
      <c r="AD428" s="2"/>
      <c r="AE428" s="3"/>
    </row>
    <row r="429" spans="29:31" x14ac:dyDescent="0.2">
      <c r="AC429" s="2"/>
      <c r="AD429" s="2"/>
      <c r="AE429" s="3"/>
    </row>
    <row r="430" spans="29:31" x14ac:dyDescent="0.2">
      <c r="AC430" s="2"/>
      <c r="AD430" s="2"/>
      <c r="AE430" s="3"/>
    </row>
    <row r="431" spans="29:31" x14ac:dyDescent="0.2">
      <c r="AC431" s="2"/>
      <c r="AD431" s="2"/>
      <c r="AE431" s="3"/>
    </row>
    <row r="432" spans="29:31" x14ac:dyDescent="0.2">
      <c r="AC432" s="2"/>
      <c r="AD432" s="2"/>
      <c r="AE432" s="3"/>
    </row>
    <row r="433" spans="29:31" x14ac:dyDescent="0.2">
      <c r="AC433" s="2"/>
      <c r="AD433" s="2"/>
      <c r="AE433" s="3"/>
    </row>
    <row r="434" spans="29:31" x14ac:dyDescent="0.2">
      <c r="AC434" s="2"/>
      <c r="AD434" s="2"/>
      <c r="AE434" s="3"/>
    </row>
    <row r="435" spans="29:31" x14ac:dyDescent="0.2">
      <c r="AC435" s="2"/>
      <c r="AD435" s="2"/>
      <c r="AE435" s="3"/>
    </row>
    <row r="436" spans="29:31" x14ac:dyDescent="0.2">
      <c r="AC436" s="2"/>
      <c r="AD436" s="2"/>
      <c r="AE436" s="3"/>
    </row>
    <row r="437" spans="29:31" x14ac:dyDescent="0.2">
      <c r="AC437" s="2"/>
      <c r="AD437" s="2"/>
      <c r="AE437" s="3"/>
    </row>
    <row r="438" spans="29:31" x14ac:dyDescent="0.2">
      <c r="AC438" s="2"/>
      <c r="AD438" s="2"/>
      <c r="AE438" s="3"/>
    </row>
    <row r="439" spans="29:31" x14ac:dyDescent="0.2">
      <c r="AC439" s="2"/>
      <c r="AD439" s="2"/>
      <c r="AE439" s="3"/>
    </row>
    <row r="440" spans="29:31" x14ac:dyDescent="0.2">
      <c r="AC440" s="2"/>
      <c r="AD440" s="2"/>
      <c r="AE440" s="3"/>
    </row>
    <row r="441" spans="29:31" x14ac:dyDescent="0.2">
      <c r="AC441" s="2"/>
      <c r="AD441" s="2"/>
      <c r="AE441" s="3"/>
    </row>
    <row r="442" spans="29:31" x14ac:dyDescent="0.2">
      <c r="AC442" s="2"/>
      <c r="AD442" s="2"/>
      <c r="AE442" s="3"/>
    </row>
    <row r="443" spans="29:31" x14ac:dyDescent="0.2">
      <c r="AC443" s="2"/>
      <c r="AD443" s="2"/>
      <c r="AE443" s="3"/>
    </row>
    <row r="444" spans="29:31" x14ac:dyDescent="0.2">
      <c r="AC444" s="2"/>
      <c r="AD444" s="2"/>
      <c r="AE444" s="3"/>
    </row>
    <row r="445" spans="29:31" x14ac:dyDescent="0.2">
      <c r="AC445" s="2"/>
      <c r="AD445" s="2"/>
      <c r="AE445" s="3"/>
    </row>
    <row r="446" spans="29:31" x14ac:dyDescent="0.2">
      <c r="AC446" s="2"/>
      <c r="AD446" s="2"/>
      <c r="AE446" s="3"/>
    </row>
    <row r="447" spans="29:31" x14ac:dyDescent="0.2">
      <c r="AC447" s="2"/>
      <c r="AD447" s="2"/>
      <c r="AE447" s="3"/>
    </row>
    <row r="448" spans="29:31" x14ac:dyDescent="0.2">
      <c r="AC448" s="2"/>
      <c r="AD448" s="2"/>
      <c r="AE448" s="3"/>
    </row>
    <row r="449" spans="29:31" x14ac:dyDescent="0.2">
      <c r="AC449" s="2"/>
      <c r="AD449" s="2"/>
      <c r="AE449" s="3"/>
    </row>
    <row r="450" spans="29:31" x14ac:dyDescent="0.2">
      <c r="AC450" s="2"/>
      <c r="AD450" s="2"/>
      <c r="AE450" s="3"/>
    </row>
    <row r="451" spans="29:31" x14ac:dyDescent="0.2">
      <c r="AC451" s="2"/>
      <c r="AD451" s="2"/>
      <c r="AE451" s="3"/>
    </row>
    <row r="452" spans="29:31" x14ac:dyDescent="0.2">
      <c r="AC452" s="2"/>
      <c r="AD452" s="2"/>
      <c r="AE452" s="3"/>
    </row>
    <row r="453" spans="29:31" x14ac:dyDescent="0.2">
      <c r="AC453" s="2"/>
      <c r="AD453" s="2"/>
      <c r="AE453" s="3"/>
    </row>
    <row r="454" spans="29:31" x14ac:dyDescent="0.2">
      <c r="AC454" s="2"/>
      <c r="AD454" s="2"/>
      <c r="AE454" s="3"/>
    </row>
    <row r="455" spans="29:31" x14ac:dyDescent="0.2">
      <c r="AC455" s="2"/>
      <c r="AD455" s="2"/>
      <c r="AE455" s="3"/>
    </row>
    <row r="456" spans="29:31" x14ac:dyDescent="0.2">
      <c r="AC456" s="2"/>
      <c r="AD456" s="2"/>
      <c r="AE456" s="3"/>
    </row>
    <row r="457" spans="29:31" x14ac:dyDescent="0.2">
      <c r="AC457" s="2"/>
      <c r="AD457" s="2"/>
      <c r="AE457" s="3"/>
    </row>
    <row r="458" spans="29:31" x14ac:dyDescent="0.2">
      <c r="AC458" s="2"/>
      <c r="AD458" s="2"/>
      <c r="AE458" s="3"/>
    </row>
    <row r="459" spans="29:31" x14ac:dyDescent="0.2">
      <c r="AC459" s="2"/>
      <c r="AD459" s="2"/>
      <c r="AE459" s="3"/>
    </row>
    <row r="460" spans="29:31" x14ac:dyDescent="0.2">
      <c r="AC460" s="2"/>
      <c r="AD460" s="2"/>
      <c r="AE460" s="3"/>
    </row>
    <row r="461" spans="29:31" x14ac:dyDescent="0.2">
      <c r="AC461" s="2"/>
      <c r="AD461" s="2"/>
      <c r="AE461" s="3"/>
    </row>
    <row r="462" spans="29:31" x14ac:dyDescent="0.2">
      <c r="AC462" s="2"/>
      <c r="AD462" s="2"/>
      <c r="AE462" s="3"/>
    </row>
    <row r="463" spans="29:31" x14ac:dyDescent="0.2">
      <c r="AC463" s="2"/>
      <c r="AD463" s="2"/>
      <c r="AE463" s="3"/>
    </row>
    <row r="464" spans="29:31" x14ac:dyDescent="0.2">
      <c r="AC464" s="2"/>
      <c r="AD464" s="2"/>
      <c r="AE464" s="3"/>
    </row>
    <row r="465" spans="29:31" x14ac:dyDescent="0.2">
      <c r="AC465" s="2"/>
      <c r="AD465" s="2"/>
      <c r="AE465" s="3"/>
    </row>
    <row r="466" spans="29:31" x14ac:dyDescent="0.2">
      <c r="AC466" s="2"/>
      <c r="AD466" s="2"/>
      <c r="AE466" s="3"/>
    </row>
    <row r="467" spans="29:31" x14ac:dyDescent="0.2">
      <c r="AC467" s="2"/>
      <c r="AD467" s="2"/>
      <c r="AE467" s="3"/>
    </row>
    <row r="468" spans="29:31" x14ac:dyDescent="0.2">
      <c r="AC468" s="2"/>
      <c r="AD468" s="2"/>
      <c r="AE468" s="3"/>
    </row>
    <row r="469" spans="29:31" x14ac:dyDescent="0.2">
      <c r="AC469" s="2"/>
      <c r="AD469" s="2"/>
      <c r="AE469" s="3"/>
    </row>
    <row r="470" spans="29:31" x14ac:dyDescent="0.2">
      <c r="AC470" s="2"/>
      <c r="AD470" s="2"/>
      <c r="AE470" s="3"/>
    </row>
    <row r="471" spans="29:31" x14ac:dyDescent="0.2">
      <c r="AC471" s="2"/>
      <c r="AD471" s="2"/>
      <c r="AE471" s="3"/>
    </row>
    <row r="472" spans="29:31" x14ac:dyDescent="0.2">
      <c r="AC472" s="2"/>
      <c r="AD472" s="2"/>
      <c r="AE472" s="3"/>
    </row>
    <row r="473" spans="29:31" x14ac:dyDescent="0.2">
      <c r="AC473" s="2"/>
      <c r="AD473" s="2"/>
      <c r="AE473" s="3"/>
    </row>
    <row r="474" spans="29:31" x14ac:dyDescent="0.2">
      <c r="AC474" s="2"/>
      <c r="AD474" s="2"/>
      <c r="AE474" s="3"/>
    </row>
    <row r="475" spans="29:31" x14ac:dyDescent="0.2">
      <c r="AC475" s="2"/>
      <c r="AD475" s="2"/>
      <c r="AE475" s="3"/>
    </row>
    <row r="476" spans="29:31" x14ac:dyDescent="0.2">
      <c r="AC476" s="2"/>
      <c r="AD476" s="2"/>
      <c r="AE476" s="3"/>
    </row>
    <row r="477" spans="29:31" x14ac:dyDescent="0.2">
      <c r="AC477" s="2"/>
      <c r="AD477" s="2"/>
      <c r="AE477" s="3"/>
    </row>
    <row r="478" spans="29:31" x14ac:dyDescent="0.2">
      <c r="AC478" s="2"/>
      <c r="AD478" s="2"/>
      <c r="AE478" s="3"/>
    </row>
    <row r="479" spans="29:31" x14ac:dyDescent="0.2">
      <c r="AC479" s="2"/>
      <c r="AD479" s="2"/>
      <c r="AE479" s="3"/>
    </row>
    <row r="480" spans="29:31" x14ac:dyDescent="0.2">
      <c r="AC480" s="2"/>
      <c r="AD480" s="2"/>
      <c r="AE480" s="3"/>
    </row>
    <row r="481" spans="29:31" x14ac:dyDescent="0.2">
      <c r="AC481" s="2"/>
      <c r="AD481" s="2"/>
      <c r="AE481" s="3"/>
    </row>
    <row r="482" spans="29:31" x14ac:dyDescent="0.2">
      <c r="AC482" s="2"/>
      <c r="AD482" s="2"/>
      <c r="AE482" s="3"/>
    </row>
    <row r="483" spans="29:31" x14ac:dyDescent="0.2">
      <c r="AC483" s="2"/>
      <c r="AD483" s="2"/>
      <c r="AE483" s="3"/>
    </row>
    <row r="484" spans="29:31" x14ac:dyDescent="0.2">
      <c r="AC484" s="2"/>
      <c r="AD484" s="2"/>
      <c r="AE484" s="3"/>
    </row>
    <row r="485" spans="29:31" x14ac:dyDescent="0.2">
      <c r="AC485" s="2"/>
      <c r="AD485" s="2"/>
      <c r="AE485" s="3"/>
    </row>
    <row r="486" spans="29:31" x14ac:dyDescent="0.2">
      <c r="AC486" s="2"/>
      <c r="AD486" s="2"/>
      <c r="AE486" s="3"/>
    </row>
    <row r="487" spans="29:31" x14ac:dyDescent="0.2">
      <c r="AC487" s="2"/>
      <c r="AD487" s="2"/>
      <c r="AE487" s="3"/>
    </row>
    <row r="488" spans="29:31" x14ac:dyDescent="0.2">
      <c r="AC488" s="2"/>
      <c r="AD488" s="2"/>
      <c r="AE488" s="3"/>
    </row>
    <row r="489" spans="29:31" x14ac:dyDescent="0.2">
      <c r="AC489" s="2"/>
      <c r="AD489" s="2"/>
      <c r="AE489" s="3"/>
    </row>
    <row r="490" spans="29:31" x14ac:dyDescent="0.2">
      <c r="AC490" s="2"/>
      <c r="AD490" s="2"/>
      <c r="AE490" s="3"/>
    </row>
    <row r="491" spans="29:31" x14ac:dyDescent="0.2">
      <c r="AC491" s="2"/>
      <c r="AD491" s="2"/>
      <c r="AE491" s="3"/>
    </row>
    <row r="492" spans="29:31" x14ac:dyDescent="0.2">
      <c r="AC492" s="2"/>
      <c r="AD492" s="2"/>
      <c r="AE492" s="3"/>
    </row>
    <row r="493" spans="29:31" x14ac:dyDescent="0.2">
      <c r="AC493" s="2"/>
      <c r="AD493" s="2"/>
      <c r="AE493" s="3"/>
    </row>
    <row r="494" spans="29:31" x14ac:dyDescent="0.2">
      <c r="AC494" s="2"/>
      <c r="AD494" s="2"/>
      <c r="AE494" s="3"/>
    </row>
    <row r="495" spans="29:31" x14ac:dyDescent="0.2">
      <c r="AC495" s="2"/>
      <c r="AD495" s="2"/>
      <c r="AE495" s="3"/>
    </row>
    <row r="496" spans="29:31" x14ac:dyDescent="0.2">
      <c r="AC496" s="2"/>
      <c r="AD496" s="2"/>
      <c r="AE496" s="3"/>
    </row>
    <row r="497" spans="29:31" x14ac:dyDescent="0.2">
      <c r="AC497" s="2"/>
      <c r="AD497" s="2"/>
      <c r="AE497" s="3"/>
    </row>
    <row r="498" spans="29:31" x14ac:dyDescent="0.2">
      <c r="AC498" s="2"/>
      <c r="AD498" s="2"/>
      <c r="AE498" s="3"/>
    </row>
    <row r="499" spans="29:31" x14ac:dyDescent="0.2">
      <c r="AC499" s="2"/>
      <c r="AD499" s="2"/>
      <c r="AE499" s="3"/>
    </row>
    <row r="500" spans="29:31" x14ac:dyDescent="0.2">
      <c r="AC500" s="2"/>
      <c r="AD500" s="2"/>
      <c r="AE500" s="3"/>
    </row>
    <row r="501" spans="29:31" x14ac:dyDescent="0.2">
      <c r="AC501" s="2"/>
      <c r="AD501" s="2"/>
      <c r="AE501" s="3"/>
    </row>
    <row r="502" spans="29:31" x14ac:dyDescent="0.2">
      <c r="AC502" s="2"/>
      <c r="AD502" s="2"/>
      <c r="AE502" s="3"/>
    </row>
    <row r="503" spans="29:31" x14ac:dyDescent="0.2">
      <c r="AC503" s="2"/>
      <c r="AD503" s="2"/>
      <c r="AE503" s="3"/>
    </row>
    <row r="504" spans="29:31" x14ac:dyDescent="0.2">
      <c r="AC504" s="2"/>
      <c r="AD504" s="2"/>
      <c r="AE504" s="3"/>
    </row>
    <row r="505" spans="29:31" x14ac:dyDescent="0.2">
      <c r="AC505" s="2"/>
      <c r="AD505" s="2"/>
      <c r="AE505" s="3"/>
    </row>
    <row r="506" spans="29:31" x14ac:dyDescent="0.2">
      <c r="AC506" s="2"/>
      <c r="AD506" s="2"/>
      <c r="AE506" s="3"/>
    </row>
    <row r="507" spans="29:31" x14ac:dyDescent="0.2">
      <c r="AC507" s="2"/>
      <c r="AD507" s="2"/>
      <c r="AE507" s="3"/>
    </row>
    <row r="508" spans="29:31" x14ac:dyDescent="0.2">
      <c r="AC508" s="2"/>
      <c r="AD508" s="2"/>
      <c r="AE508" s="3"/>
    </row>
    <row r="509" spans="29:31" x14ac:dyDescent="0.2">
      <c r="AC509" s="2"/>
      <c r="AD509" s="2"/>
      <c r="AE509" s="3"/>
    </row>
    <row r="510" spans="29:31" x14ac:dyDescent="0.2">
      <c r="AC510" s="2"/>
      <c r="AD510" s="2"/>
      <c r="AE510" s="3"/>
    </row>
    <row r="511" spans="29:31" x14ac:dyDescent="0.2">
      <c r="AC511" s="2"/>
      <c r="AD511" s="2"/>
      <c r="AE511" s="3"/>
    </row>
    <row r="512" spans="29:31" x14ac:dyDescent="0.2">
      <c r="AC512" s="2"/>
      <c r="AD512" s="2"/>
      <c r="AE512" s="3"/>
    </row>
    <row r="513" spans="29:31" x14ac:dyDescent="0.2">
      <c r="AC513" s="2"/>
      <c r="AD513" s="2"/>
      <c r="AE513" s="3"/>
    </row>
    <row r="514" spans="29:31" x14ac:dyDescent="0.2">
      <c r="AC514" s="2"/>
      <c r="AD514" s="2"/>
      <c r="AE514" s="3"/>
    </row>
    <row r="515" spans="29:31" x14ac:dyDescent="0.2">
      <c r="AC515" s="2"/>
      <c r="AD515" s="2"/>
      <c r="AE515" s="3"/>
    </row>
    <row r="516" spans="29:31" x14ac:dyDescent="0.2">
      <c r="AC516" s="2"/>
      <c r="AD516" s="2"/>
      <c r="AE516" s="3"/>
    </row>
    <row r="517" spans="29:31" x14ac:dyDescent="0.2">
      <c r="AC517" s="2"/>
      <c r="AD517" s="2"/>
      <c r="AE517" s="3"/>
    </row>
    <row r="518" spans="29:31" x14ac:dyDescent="0.2">
      <c r="AC518" s="2"/>
      <c r="AD518" s="2"/>
      <c r="AE518" s="3"/>
    </row>
    <row r="519" spans="29:31" x14ac:dyDescent="0.2">
      <c r="AC519" s="2"/>
      <c r="AD519" s="2"/>
      <c r="AE519" s="3"/>
    </row>
    <row r="520" spans="29:31" x14ac:dyDescent="0.2">
      <c r="AC520" s="2"/>
      <c r="AD520" s="2"/>
      <c r="AE520" s="3"/>
    </row>
    <row r="521" spans="29:31" x14ac:dyDescent="0.2">
      <c r="AC521" s="2"/>
      <c r="AD521" s="2"/>
      <c r="AE521" s="3"/>
    </row>
    <row r="522" spans="29:31" x14ac:dyDescent="0.2">
      <c r="AC522" s="2"/>
      <c r="AD522" s="2"/>
      <c r="AE522" s="3"/>
    </row>
    <row r="523" spans="29:31" x14ac:dyDescent="0.2">
      <c r="AC523" s="2"/>
      <c r="AD523" s="2"/>
      <c r="AE523" s="3"/>
    </row>
    <row r="524" spans="29:31" x14ac:dyDescent="0.2">
      <c r="AC524" s="2"/>
      <c r="AD524" s="2"/>
      <c r="AE524" s="3"/>
    </row>
    <row r="525" spans="29:31" x14ac:dyDescent="0.2">
      <c r="AC525" s="2"/>
      <c r="AD525" s="2"/>
      <c r="AE525" s="3"/>
    </row>
    <row r="526" spans="29:31" x14ac:dyDescent="0.2">
      <c r="AC526" s="2"/>
      <c r="AD526" s="2"/>
      <c r="AE526" s="3"/>
    </row>
    <row r="527" spans="29:31" x14ac:dyDescent="0.2">
      <c r="AC527" s="2"/>
      <c r="AD527" s="2"/>
      <c r="AE527" s="3"/>
    </row>
    <row r="528" spans="29:31" x14ac:dyDescent="0.2">
      <c r="AC528" s="2"/>
      <c r="AD528" s="2"/>
      <c r="AE528" s="3"/>
    </row>
    <row r="529" spans="29:31" x14ac:dyDescent="0.2">
      <c r="AC529" s="2"/>
      <c r="AD529" s="2"/>
      <c r="AE529" s="3"/>
    </row>
    <row r="530" spans="29:31" x14ac:dyDescent="0.2">
      <c r="AC530" s="2"/>
      <c r="AD530" s="2"/>
      <c r="AE530" s="3"/>
    </row>
    <row r="531" spans="29:31" x14ac:dyDescent="0.2">
      <c r="AC531" s="2"/>
      <c r="AD531" s="2"/>
      <c r="AE531" s="3"/>
    </row>
    <row r="532" spans="29:31" x14ac:dyDescent="0.2">
      <c r="AC532" s="2"/>
      <c r="AD532" s="2"/>
      <c r="AE532" s="3"/>
    </row>
    <row r="533" spans="29:31" x14ac:dyDescent="0.2">
      <c r="AC533" s="2"/>
      <c r="AD533" s="2"/>
      <c r="AE533" s="3"/>
    </row>
    <row r="534" spans="29:31" x14ac:dyDescent="0.2">
      <c r="AC534" s="2"/>
      <c r="AD534" s="2"/>
      <c r="AE534" s="3"/>
    </row>
    <row r="535" spans="29:31" x14ac:dyDescent="0.2">
      <c r="AC535" s="2"/>
      <c r="AD535" s="2"/>
      <c r="AE535" s="3"/>
    </row>
    <row r="536" spans="29:31" x14ac:dyDescent="0.2">
      <c r="AC536" s="2"/>
      <c r="AD536" s="2"/>
      <c r="AE536" s="3"/>
    </row>
    <row r="537" spans="29:31" x14ac:dyDescent="0.2">
      <c r="AC537" s="2"/>
      <c r="AD537" s="2"/>
      <c r="AE537" s="3"/>
    </row>
    <row r="538" spans="29:31" x14ac:dyDescent="0.2">
      <c r="AC538" s="2"/>
      <c r="AD538" s="2"/>
      <c r="AE538" s="3"/>
    </row>
    <row r="539" spans="29:31" x14ac:dyDescent="0.2">
      <c r="AC539" s="2"/>
      <c r="AD539" s="2"/>
      <c r="AE539" s="3"/>
    </row>
    <row r="540" spans="29:31" x14ac:dyDescent="0.2">
      <c r="AC540" s="2"/>
      <c r="AD540" s="2"/>
      <c r="AE540" s="3"/>
    </row>
    <row r="541" spans="29:31" x14ac:dyDescent="0.2">
      <c r="AC541" s="2"/>
      <c r="AD541" s="2"/>
      <c r="AE541" s="3"/>
    </row>
    <row r="542" spans="29:31" x14ac:dyDescent="0.2">
      <c r="AC542" s="2"/>
      <c r="AD542" s="2"/>
      <c r="AE542" s="3"/>
    </row>
    <row r="543" spans="29:31" x14ac:dyDescent="0.2">
      <c r="AC543" s="2"/>
      <c r="AD543" s="2"/>
      <c r="AE543" s="3"/>
    </row>
    <row r="544" spans="29:31" x14ac:dyDescent="0.2">
      <c r="AC544" s="2"/>
      <c r="AD544" s="2"/>
      <c r="AE544" s="3"/>
    </row>
    <row r="545" spans="29:31" x14ac:dyDescent="0.2">
      <c r="AC545" s="2"/>
      <c r="AD545" s="2"/>
      <c r="AE545" s="3"/>
    </row>
    <row r="546" spans="29:31" x14ac:dyDescent="0.2">
      <c r="AC546" s="2"/>
      <c r="AD546" s="2"/>
      <c r="AE546" s="3"/>
    </row>
    <row r="547" spans="29:31" x14ac:dyDescent="0.2">
      <c r="AC547" s="2"/>
      <c r="AD547" s="2"/>
      <c r="AE547" s="3"/>
    </row>
    <row r="548" spans="29:31" ht="22" customHeight="1" x14ac:dyDescent="0.2">
      <c r="AC548" s="2"/>
      <c r="AD548" s="2"/>
      <c r="AE548" s="3"/>
    </row>
    <row r="549" spans="29:31" x14ac:dyDescent="0.2">
      <c r="AC549" s="2"/>
      <c r="AD549" s="2"/>
      <c r="AE549" s="3"/>
    </row>
    <row r="550" spans="29:31" x14ac:dyDescent="0.2">
      <c r="AC550" s="2"/>
      <c r="AD550" s="2"/>
      <c r="AE550" s="3"/>
    </row>
    <row r="551" spans="29:31" x14ac:dyDescent="0.2">
      <c r="AC551" s="2"/>
      <c r="AD551" s="2"/>
      <c r="AE551" s="3"/>
    </row>
    <row r="552" spans="29:31" x14ac:dyDescent="0.2">
      <c r="AC552" s="2"/>
      <c r="AD552" s="2"/>
      <c r="AE552" s="3"/>
    </row>
    <row r="553" spans="29:31" x14ac:dyDescent="0.2">
      <c r="AC553" s="2"/>
      <c r="AD553" s="2"/>
      <c r="AE553" s="3"/>
    </row>
    <row r="554" spans="29:31" x14ac:dyDescent="0.2">
      <c r="AC554" s="2"/>
      <c r="AD554" s="2"/>
      <c r="AE554" s="3"/>
    </row>
    <row r="555" spans="29:31" x14ac:dyDescent="0.2">
      <c r="AC555" s="2"/>
      <c r="AD555" s="2"/>
      <c r="AE555" s="3"/>
    </row>
    <row r="556" spans="29:31" x14ac:dyDescent="0.2">
      <c r="AC556" s="2"/>
      <c r="AD556" s="2"/>
      <c r="AE556" s="3"/>
    </row>
    <row r="557" spans="29:31" x14ac:dyDescent="0.2">
      <c r="AC557" s="2"/>
      <c r="AD557" s="2"/>
      <c r="AE557" s="3"/>
    </row>
    <row r="558" spans="29:31" x14ac:dyDescent="0.2">
      <c r="AC558" s="2"/>
      <c r="AD558" s="2"/>
      <c r="AE558" s="3"/>
    </row>
    <row r="559" spans="29:31" x14ac:dyDescent="0.2">
      <c r="AC559" s="2"/>
      <c r="AD559" s="2"/>
      <c r="AE559" s="3"/>
    </row>
    <row r="560" spans="29:31" x14ac:dyDescent="0.2">
      <c r="AC560" s="2"/>
      <c r="AD560" s="2"/>
      <c r="AE560" s="3"/>
    </row>
    <row r="561" spans="29:31" x14ac:dyDescent="0.2">
      <c r="AC561" s="2"/>
      <c r="AD561" s="2"/>
      <c r="AE561" s="3"/>
    </row>
    <row r="562" spans="29:31" x14ac:dyDescent="0.2">
      <c r="AC562" s="2"/>
      <c r="AD562" s="2"/>
      <c r="AE562" s="3"/>
    </row>
    <row r="563" spans="29:31" x14ac:dyDescent="0.2">
      <c r="AC563" s="2"/>
      <c r="AD563" s="2"/>
      <c r="AE563" s="3"/>
    </row>
    <row r="564" spans="29:31" x14ac:dyDescent="0.2">
      <c r="AC564" s="2"/>
      <c r="AD564" s="2"/>
      <c r="AE564" s="3"/>
    </row>
    <row r="565" spans="29:31" x14ac:dyDescent="0.2">
      <c r="AC565" s="2"/>
      <c r="AD565" s="2"/>
      <c r="AE565" s="3"/>
    </row>
    <row r="566" spans="29:31" x14ac:dyDescent="0.2">
      <c r="AC566" s="2"/>
      <c r="AD566" s="2"/>
      <c r="AE566" s="3"/>
    </row>
    <row r="567" spans="29:31" x14ac:dyDescent="0.2">
      <c r="AC567" s="2"/>
      <c r="AD567" s="2"/>
      <c r="AE567" s="3"/>
    </row>
    <row r="568" spans="29:31" x14ac:dyDescent="0.2">
      <c r="AC568" s="2"/>
      <c r="AD568" s="2"/>
      <c r="AE568" s="3"/>
    </row>
    <row r="569" spans="29:31" x14ac:dyDescent="0.2">
      <c r="AC569" s="2"/>
      <c r="AD569" s="2"/>
      <c r="AE569" s="3"/>
    </row>
    <row r="570" spans="29:31" x14ac:dyDescent="0.2">
      <c r="AC570" s="2"/>
      <c r="AD570" s="2"/>
      <c r="AE570" s="3"/>
    </row>
    <row r="571" spans="29:31" x14ac:dyDescent="0.2">
      <c r="AC571" s="2"/>
      <c r="AD571" s="2"/>
      <c r="AE571" s="3"/>
    </row>
    <row r="572" spans="29:31" x14ac:dyDescent="0.2">
      <c r="AC572" s="2"/>
      <c r="AD572" s="2"/>
      <c r="AE572" s="3"/>
    </row>
    <row r="573" spans="29:31" x14ac:dyDescent="0.2">
      <c r="AC573" s="2"/>
      <c r="AD573" s="2"/>
      <c r="AE573" s="3"/>
    </row>
    <row r="574" spans="29:31" x14ac:dyDescent="0.2">
      <c r="AC574" s="2"/>
      <c r="AD574" s="2"/>
      <c r="AE574" s="3"/>
    </row>
    <row r="575" spans="29:31" x14ac:dyDescent="0.2">
      <c r="AC575" s="2"/>
      <c r="AD575" s="2"/>
      <c r="AE575" s="3"/>
    </row>
    <row r="576" spans="29:31" x14ac:dyDescent="0.2">
      <c r="AC576" s="2"/>
      <c r="AD576" s="2"/>
      <c r="AE576" s="3"/>
    </row>
    <row r="577" spans="29:31" x14ac:dyDescent="0.2">
      <c r="AC577" s="2"/>
      <c r="AD577" s="2"/>
      <c r="AE577" s="3"/>
    </row>
    <row r="578" spans="29:31" x14ac:dyDescent="0.2">
      <c r="AC578" s="2"/>
      <c r="AD578" s="2"/>
      <c r="AE578" s="3"/>
    </row>
    <row r="579" spans="29:31" x14ac:dyDescent="0.2">
      <c r="AC579" s="2"/>
      <c r="AD579" s="2"/>
      <c r="AE579" s="3"/>
    </row>
    <row r="580" spans="29:31" x14ac:dyDescent="0.2">
      <c r="AC580" s="2"/>
      <c r="AD580" s="2"/>
      <c r="AE580" s="3"/>
    </row>
    <row r="581" spans="29:31" x14ac:dyDescent="0.2">
      <c r="AC581" s="2"/>
      <c r="AD581" s="2"/>
      <c r="AE581" s="3"/>
    </row>
    <row r="582" spans="29:31" x14ac:dyDescent="0.2">
      <c r="AC582" s="2"/>
      <c r="AD582" s="2"/>
      <c r="AE582" s="3"/>
    </row>
    <row r="583" spans="29:31" x14ac:dyDescent="0.2">
      <c r="AC583" s="2"/>
      <c r="AD583" s="2"/>
      <c r="AE583" s="3"/>
    </row>
    <row r="584" spans="29:31" x14ac:dyDescent="0.2">
      <c r="AC584" s="2"/>
      <c r="AD584" s="2"/>
      <c r="AE584" s="3"/>
    </row>
    <row r="585" spans="29:31" x14ac:dyDescent="0.2">
      <c r="AC585" s="2"/>
      <c r="AD585" s="2"/>
      <c r="AE585" s="3"/>
    </row>
    <row r="586" spans="29:31" x14ac:dyDescent="0.2">
      <c r="AC586" s="2"/>
      <c r="AD586" s="2"/>
      <c r="AE586" s="3"/>
    </row>
    <row r="587" spans="29:31" x14ac:dyDescent="0.2">
      <c r="AC587" s="2"/>
      <c r="AD587" s="2"/>
      <c r="AE587" s="3"/>
    </row>
    <row r="588" spans="29:31" x14ac:dyDescent="0.2">
      <c r="AC588" s="2"/>
      <c r="AD588" s="2"/>
      <c r="AE588" s="3"/>
    </row>
    <row r="589" spans="29:31" x14ac:dyDescent="0.2">
      <c r="AC589" s="2"/>
      <c r="AD589" s="2"/>
      <c r="AE589" s="3"/>
    </row>
    <row r="590" spans="29:31" x14ac:dyDescent="0.2">
      <c r="AC590" s="2"/>
      <c r="AD590" s="2"/>
      <c r="AE590" s="3"/>
    </row>
    <row r="591" spans="29:31" x14ac:dyDescent="0.2">
      <c r="AC591" s="2"/>
      <c r="AD591" s="2"/>
      <c r="AE591" s="3"/>
    </row>
    <row r="592" spans="29:31" x14ac:dyDescent="0.2">
      <c r="AC592" s="2"/>
      <c r="AD592" s="2"/>
      <c r="AE592" s="3"/>
    </row>
    <row r="593" spans="29:31" x14ac:dyDescent="0.2">
      <c r="AC593" s="2"/>
      <c r="AD593" s="2"/>
      <c r="AE593" s="3"/>
    </row>
    <row r="594" spans="29:31" x14ac:dyDescent="0.2">
      <c r="AC594" s="2"/>
      <c r="AD594" s="2"/>
      <c r="AE594" s="3"/>
    </row>
    <row r="595" spans="29:31" x14ac:dyDescent="0.2">
      <c r="AC595" s="2"/>
      <c r="AD595" s="2"/>
      <c r="AE595" s="3"/>
    </row>
    <row r="596" spans="29:31" x14ac:dyDescent="0.2">
      <c r="AC596" s="2"/>
      <c r="AD596" s="2"/>
      <c r="AE596" s="3"/>
    </row>
    <row r="597" spans="29:31" x14ac:dyDescent="0.2">
      <c r="AC597" s="2"/>
      <c r="AD597" s="2"/>
      <c r="AE597" s="3"/>
    </row>
    <row r="598" spans="29:31" x14ac:dyDescent="0.2">
      <c r="AC598" s="2"/>
      <c r="AD598" s="2"/>
      <c r="AE598" s="3"/>
    </row>
    <row r="599" spans="29:31" x14ac:dyDescent="0.2">
      <c r="AC599" s="2"/>
      <c r="AD599" s="2"/>
      <c r="AE599" s="3"/>
    </row>
    <row r="600" spans="29:31" x14ac:dyDescent="0.2">
      <c r="AC600" s="2"/>
      <c r="AD600" s="2"/>
      <c r="AE600" s="3"/>
    </row>
    <row r="601" spans="29:31" x14ac:dyDescent="0.2">
      <c r="AC601" s="2"/>
      <c r="AD601" s="2"/>
      <c r="AE601" s="3"/>
    </row>
    <row r="602" spans="29:31" x14ac:dyDescent="0.2">
      <c r="AC602" s="2"/>
      <c r="AD602" s="2"/>
      <c r="AE602" s="3"/>
    </row>
    <row r="603" spans="29:31" x14ac:dyDescent="0.2">
      <c r="AC603" s="2"/>
      <c r="AD603" s="2"/>
      <c r="AE603" s="3"/>
    </row>
    <row r="604" spans="29:31" x14ac:dyDescent="0.2">
      <c r="AC604" s="2"/>
      <c r="AD604" s="2"/>
      <c r="AE604" s="3"/>
    </row>
    <row r="605" spans="29:31" x14ac:dyDescent="0.2">
      <c r="AC605" s="2"/>
      <c r="AD605" s="2"/>
      <c r="AE605" s="3"/>
    </row>
    <row r="606" spans="29:31" x14ac:dyDescent="0.2">
      <c r="AC606" s="2"/>
      <c r="AD606" s="2"/>
      <c r="AE606" s="3"/>
    </row>
    <row r="607" spans="29:31" x14ac:dyDescent="0.2">
      <c r="AC607" s="2"/>
      <c r="AD607" s="2"/>
      <c r="AE607" s="3"/>
    </row>
    <row r="608" spans="29:31" x14ac:dyDescent="0.2">
      <c r="AC608" s="2"/>
      <c r="AD608" s="2"/>
      <c r="AE608" s="3"/>
    </row>
    <row r="609" spans="29:31" ht="17" customHeight="1" x14ac:dyDescent="0.2">
      <c r="AC609" s="2"/>
      <c r="AD609" s="2"/>
      <c r="AE609" s="3"/>
    </row>
    <row r="610" spans="29:31" x14ac:dyDescent="0.2">
      <c r="AC610" s="2"/>
      <c r="AD610" s="2"/>
      <c r="AE610" s="3"/>
    </row>
    <row r="611" spans="29:31" x14ac:dyDescent="0.2">
      <c r="AC611" s="2"/>
      <c r="AD611" s="2"/>
      <c r="AE611" s="3"/>
    </row>
    <row r="612" spans="29:31" x14ac:dyDescent="0.2">
      <c r="AC612" s="2"/>
      <c r="AD612" s="2"/>
      <c r="AE612" s="3"/>
    </row>
    <row r="613" spans="29:31" x14ac:dyDescent="0.2">
      <c r="AC613" s="2"/>
      <c r="AD613" s="2"/>
      <c r="AE613" s="3"/>
    </row>
    <row r="614" spans="29:31" x14ac:dyDescent="0.2">
      <c r="AC614" s="2"/>
      <c r="AD614" s="2"/>
      <c r="AE614" s="3"/>
    </row>
    <row r="615" spans="29:31" x14ac:dyDescent="0.2">
      <c r="AC615" s="2"/>
      <c r="AD615" s="2"/>
      <c r="AE615" s="3"/>
    </row>
    <row r="616" spans="29:31" x14ac:dyDescent="0.2">
      <c r="AC616" s="2"/>
      <c r="AD616" s="2"/>
      <c r="AE616" s="3"/>
    </row>
    <row r="617" spans="29:31" x14ac:dyDescent="0.2">
      <c r="AC617" s="2"/>
      <c r="AD617" s="2"/>
      <c r="AE617" s="3"/>
    </row>
    <row r="618" spans="29:31" x14ac:dyDescent="0.2">
      <c r="AC618" s="2"/>
      <c r="AD618" s="2"/>
      <c r="AE618" s="3"/>
    </row>
    <row r="619" spans="29:31" x14ac:dyDescent="0.2">
      <c r="AC619" s="2"/>
      <c r="AD619" s="2"/>
      <c r="AE619" s="3"/>
    </row>
    <row r="620" spans="29:31" x14ac:dyDescent="0.2">
      <c r="AC620" s="2"/>
      <c r="AD620" s="2"/>
      <c r="AE620" s="3"/>
    </row>
    <row r="621" spans="29:31" x14ac:dyDescent="0.2">
      <c r="AC621" s="2"/>
      <c r="AD621" s="2"/>
      <c r="AE621" s="3"/>
    </row>
    <row r="622" spans="29:31" x14ac:dyDescent="0.2">
      <c r="AC622" s="2"/>
      <c r="AD622" s="2"/>
      <c r="AE622" s="3"/>
    </row>
    <row r="623" spans="29:31" x14ac:dyDescent="0.2">
      <c r="AC623" s="2"/>
      <c r="AD623" s="2"/>
      <c r="AE623" s="3"/>
    </row>
    <row r="624" spans="29:31" x14ac:dyDescent="0.2">
      <c r="AC624" s="2"/>
      <c r="AD624" s="2"/>
      <c r="AE624" s="3"/>
    </row>
    <row r="625" spans="29:31" x14ac:dyDescent="0.2">
      <c r="AC625" s="2"/>
      <c r="AD625" s="2"/>
      <c r="AE625" s="3"/>
    </row>
    <row r="626" spans="29:31" x14ac:dyDescent="0.2">
      <c r="AC626" s="2"/>
      <c r="AD626" s="2"/>
      <c r="AE626" s="3"/>
    </row>
    <row r="627" spans="29:31" x14ac:dyDescent="0.2">
      <c r="AC627" s="2"/>
      <c r="AD627" s="2"/>
      <c r="AE627" s="3"/>
    </row>
    <row r="628" spans="29:31" x14ac:dyDescent="0.2">
      <c r="AC628" s="2"/>
      <c r="AD628" s="2"/>
      <c r="AE628" s="3"/>
    </row>
    <row r="629" spans="29:31" x14ac:dyDescent="0.2">
      <c r="AC629" s="2"/>
      <c r="AD629" s="2"/>
      <c r="AE629" s="3"/>
    </row>
    <row r="630" spans="29:31" x14ac:dyDescent="0.2">
      <c r="AC630" s="2"/>
      <c r="AD630" s="2"/>
      <c r="AE630" s="3"/>
    </row>
    <row r="631" spans="29:31" x14ac:dyDescent="0.2">
      <c r="AC631" s="2"/>
      <c r="AD631" s="2"/>
      <c r="AE631" s="3"/>
    </row>
    <row r="632" spans="29:31" x14ac:dyDescent="0.2">
      <c r="AC632" s="2"/>
      <c r="AD632" s="2"/>
      <c r="AE632" s="3"/>
    </row>
    <row r="633" spans="29:31" x14ac:dyDescent="0.2">
      <c r="AC633" s="2"/>
      <c r="AD633" s="2"/>
      <c r="AE633" s="3"/>
    </row>
    <row r="634" spans="29:31" x14ac:dyDescent="0.2">
      <c r="AC634" s="2"/>
      <c r="AD634" s="2"/>
      <c r="AE634" s="3"/>
    </row>
    <row r="635" spans="29:31" x14ac:dyDescent="0.2">
      <c r="AC635" s="2"/>
      <c r="AD635" s="2"/>
      <c r="AE635" s="3"/>
    </row>
    <row r="636" spans="29:31" x14ac:dyDescent="0.2">
      <c r="AC636" s="2"/>
      <c r="AD636" s="2"/>
      <c r="AE636" s="3"/>
    </row>
    <row r="637" spans="29:31" x14ac:dyDescent="0.2">
      <c r="AC637" s="2"/>
      <c r="AD637" s="2"/>
      <c r="AE637" s="3"/>
    </row>
    <row r="638" spans="29:31" x14ac:dyDescent="0.2">
      <c r="AC638" s="2"/>
      <c r="AD638" s="2"/>
      <c r="AE638" s="3"/>
    </row>
    <row r="639" spans="29:31" x14ac:dyDescent="0.2">
      <c r="AC639" s="2"/>
      <c r="AD639" s="2"/>
      <c r="AE639" s="3"/>
    </row>
    <row r="640" spans="29:31" x14ac:dyDescent="0.2">
      <c r="AC640" s="2"/>
      <c r="AD640" s="2"/>
      <c r="AE640" s="3"/>
    </row>
    <row r="641" spans="29:31" x14ac:dyDescent="0.2">
      <c r="AC641" s="2"/>
      <c r="AD641" s="2"/>
      <c r="AE641" s="3"/>
    </row>
    <row r="642" spans="29:31" x14ac:dyDescent="0.2">
      <c r="AC642" s="2"/>
      <c r="AD642" s="2"/>
      <c r="AE642" s="3"/>
    </row>
    <row r="643" spans="29:31" x14ac:dyDescent="0.2">
      <c r="AC643" s="2"/>
      <c r="AD643" s="2"/>
      <c r="AE643" s="3"/>
    </row>
    <row r="644" spans="29:31" x14ac:dyDescent="0.2">
      <c r="AC644" s="2"/>
      <c r="AD644" s="2"/>
      <c r="AE644" s="3"/>
    </row>
    <row r="645" spans="29:31" x14ac:dyDescent="0.2">
      <c r="AC645" s="2"/>
      <c r="AD645" s="2"/>
      <c r="AE645" s="3"/>
    </row>
    <row r="646" spans="29:31" x14ac:dyDescent="0.2">
      <c r="AC646" s="2"/>
      <c r="AD646" s="2"/>
      <c r="AE646" s="3"/>
    </row>
    <row r="647" spans="29:31" x14ac:dyDescent="0.2">
      <c r="AC647" s="2"/>
      <c r="AD647" s="2"/>
      <c r="AE647" s="3"/>
    </row>
    <row r="648" spans="29:31" x14ac:dyDescent="0.2">
      <c r="AC648" s="2"/>
      <c r="AD648" s="2"/>
      <c r="AE648" s="3"/>
    </row>
    <row r="649" spans="29:31" x14ac:dyDescent="0.2">
      <c r="AC649" s="2"/>
      <c r="AD649" s="2"/>
      <c r="AE649" s="3"/>
    </row>
    <row r="650" spans="29:31" x14ac:dyDescent="0.2">
      <c r="AC650" s="2"/>
      <c r="AD650" s="2"/>
      <c r="AE650" s="3"/>
    </row>
    <row r="651" spans="29:31" x14ac:dyDescent="0.2">
      <c r="AC651" s="2"/>
      <c r="AD651" s="2"/>
      <c r="AE651" s="3"/>
    </row>
    <row r="652" spans="29:31" x14ac:dyDescent="0.2">
      <c r="AC652" s="2"/>
      <c r="AD652" s="2"/>
      <c r="AE652" s="3"/>
    </row>
    <row r="653" spans="29:31" x14ac:dyDescent="0.2">
      <c r="AC653" s="2"/>
      <c r="AD653" s="2"/>
      <c r="AE653" s="3"/>
    </row>
    <row r="654" spans="29:31" x14ac:dyDescent="0.2">
      <c r="AC654" s="2"/>
      <c r="AD654" s="2"/>
      <c r="AE654" s="3"/>
    </row>
    <row r="655" spans="29:31" x14ac:dyDescent="0.2">
      <c r="AC655" s="2"/>
      <c r="AD655" s="2"/>
      <c r="AE655" s="3"/>
    </row>
    <row r="656" spans="29:31" x14ac:dyDescent="0.2">
      <c r="AC656" s="2"/>
      <c r="AD656" s="2"/>
      <c r="AE656" s="3"/>
    </row>
    <row r="657" spans="29:31" x14ac:dyDescent="0.2">
      <c r="AC657" s="2"/>
      <c r="AD657" s="2"/>
      <c r="AE657" s="3"/>
    </row>
    <row r="658" spans="29:31" x14ac:dyDescent="0.2">
      <c r="AC658" s="2"/>
      <c r="AD658" s="2"/>
      <c r="AE658" s="3"/>
    </row>
    <row r="659" spans="29:31" x14ac:dyDescent="0.2">
      <c r="AC659" s="2"/>
      <c r="AD659" s="2"/>
      <c r="AE659" s="3"/>
    </row>
    <row r="660" spans="29:31" x14ac:dyDescent="0.2">
      <c r="AC660" s="2"/>
      <c r="AD660" s="2"/>
      <c r="AE660" s="3"/>
    </row>
    <row r="661" spans="29:31" x14ac:dyDescent="0.2">
      <c r="AC661" s="2"/>
      <c r="AD661" s="2"/>
      <c r="AE661" s="3"/>
    </row>
    <row r="662" spans="29:31" x14ac:dyDescent="0.2">
      <c r="AC662" s="2"/>
      <c r="AD662" s="2"/>
      <c r="AE662" s="3"/>
    </row>
    <row r="663" spans="29:31" x14ac:dyDescent="0.2">
      <c r="AC663" s="2"/>
      <c r="AD663" s="2"/>
      <c r="AE663" s="3"/>
    </row>
    <row r="664" spans="29:31" x14ac:dyDescent="0.2">
      <c r="AC664" s="2"/>
      <c r="AD664" s="2"/>
      <c r="AE664" s="3"/>
    </row>
    <row r="665" spans="29:31" x14ac:dyDescent="0.2">
      <c r="AC665" s="2"/>
      <c r="AD665" s="2"/>
      <c r="AE665" s="3"/>
    </row>
    <row r="666" spans="29:31" x14ac:dyDescent="0.2">
      <c r="AC666" s="2"/>
      <c r="AD666" s="2"/>
      <c r="AE666" s="3"/>
    </row>
    <row r="667" spans="29:31" x14ac:dyDescent="0.2">
      <c r="AC667" s="2"/>
      <c r="AD667" s="2"/>
      <c r="AE667" s="3"/>
    </row>
    <row r="668" spans="29:31" x14ac:dyDescent="0.2">
      <c r="AC668" s="2"/>
      <c r="AD668" s="2"/>
      <c r="AE668" s="3"/>
    </row>
    <row r="669" spans="29:31" x14ac:dyDescent="0.2">
      <c r="AC669" s="2"/>
      <c r="AD669" s="2"/>
      <c r="AE669" s="3"/>
    </row>
    <row r="670" spans="29:31" x14ac:dyDescent="0.2">
      <c r="AC670" s="2"/>
      <c r="AD670" s="2"/>
      <c r="AE670" s="3"/>
    </row>
    <row r="671" spans="29:31" x14ac:dyDescent="0.2">
      <c r="AC671" s="2"/>
      <c r="AD671" s="2"/>
      <c r="AE671" s="3"/>
    </row>
    <row r="672" spans="29:31" x14ac:dyDescent="0.2">
      <c r="AC672" s="2"/>
      <c r="AD672" s="2"/>
      <c r="AE672" s="3"/>
    </row>
    <row r="673" spans="29:31" x14ac:dyDescent="0.2">
      <c r="AC673" s="2"/>
      <c r="AD673" s="2"/>
      <c r="AE673" s="3"/>
    </row>
    <row r="674" spans="29:31" x14ac:dyDescent="0.2">
      <c r="AC674" s="2"/>
      <c r="AD674" s="2"/>
      <c r="AE674" s="3"/>
    </row>
    <row r="675" spans="29:31" x14ac:dyDescent="0.2">
      <c r="AC675" s="2"/>
      <c r="AD675" s="2"/>
      <c r="AE675" s="3"/>
    </row>
    <row r="676" spans="29:31" x14ac:dyDescent="0.2">
      <c r="AC676" s="2"/>
      <c r="AD676" s="2"/>
      <c r="AE676" s="3"/>
    </row>
    <row r="677" spans="29:31" x14ac:dyDescent="0.2">
      <c r="AC677" s="2"/>
      <c r="AD677" s="2"/>
      <c r="AE677" s="3"/>
    </row>
    <row r="678" spans="29:31" x14ac:dyDescent="0.2">
      <c r="AC678" s="2"/>
      <c r="AD678" s="2"/>
      <c r="AE678" s="3"/>
    </row>
    <row r="679" spans="29:31" x14ac:dyDescent="0.2">
      <c r="AC679" s="2"/>
      <c r="AD679" s="2"/>
      <c r="AE679" s="3"/>
    </row>
    <row r="680" spans="29:31" x14ac:dyDescent="0.2">
      <c r="AC680" s="2"/>
      <c r="AD680" s="2"/>
      <c r="AE680" s="3"/>
    </row>
    <row r="681" spans="29:31" x14ac:dyDescent="0.2">
      <c r="AC681" s="2"/>
      <c r="AD681" s="2"/>
      <c r="AE681" s="3"/>
    </row>
    <row r="682" spans="29:31" x14ac:dyDescent="0.2">
      <c r="AC682" s="2"/>
      <c r="AD682" s="2"/>
      <c r="AE682" s="3"/>
    </row>
    <row r="683" spans="29:31" x14ac:dyDescent="0.2">
      <c r="AC683" s="2"/>
      <c r="AD683" s="2"/>
      <c r="AE683" s="3"/>
    </row>
    <row r="684" spans="29:31" x14ac:dyDescent="0.2">
      <c r="AC684" s="2"/>
      <c r="AD684" s="2"/>
      <c r="AE684" s="3"/>
    </row>
    <row r="685" spans="29:31" x14ac:dyDescent="0.2">
      <c r="AC685" s="2"/>
      <c r="AD685" s="2"/>
      <c r="AE685" s="3"/>
    </row>
    <row r="686" spans="29:31" x14ac:dyDescent="0.2">
      <c r="AC686" s="2"/>
      <c r="AD686" s="2"/>
      <c r="AE686" s="3"/>
    </row>
    <row r="687" spans="29:31" x14ac:dyDescent="0.2">
      <c r="AC687" s="2"/>
      <c r="AD687" s="2"/>
      <c r="AE687" s="3"/>
    </row>
    <row r="688" spans="29:31" x14ac:dyDescent="0.2">
      <c r="AC688" s="2"/>
      <c r="AD688" s="2"/>
      <c r="AE688" s="3"/>
    </row>
    <row r="689" spans="29:31" x14ac:dyDescent="0.2">
      <c r="AC689" s="2"/>
      <c r="AD689" s="2"/>
      <c r="AE689" s="3"/>
    </row>
    <row r="690" spans="29:31" x14ac:dyDescent="0.2">
      <c r="AC690" s="2"/>
      <c r="AD690" s="2"/>
      <c r="AE690" s="3"/>
    </row>
    <row r="691" spans="29:31" x14ac:dyDescent="0.2">
      <c r="AC691" s="2"/>
      <c r="AD691" s="2"/>
      <c r="AE691" s="3"/>
    </row>
    <row r="692" spans="29:31" x14ac:dyDescent="0.2">
      <c r="AC692" s="2"/>
      <c r="AD692" s="2"/>
      <c r="AE692" s="3"/>
    </row>
    <row r="693" spans="29:31" x14ac:dyDescent="0.2">
      <c r="AC693" s="2"/>
      <c r="AD693" s="2"/>
      <c r="AE693" s="3"/>
    </row>
    <row r="694" spans="29:31" x14ac:dyDescent="0.2">
      <c r="AC694" s="2"/>
      <c r="AD694" s="2"/>
      <c r="AE694" s="3"/>
    </row>
    <row r="695" spans="29:31" x14ac:dyDescent="0.2">
      <c r="AC695" s="2"/>
      <c r="AD695" s="2"/>
      <c r="AE695" s="3"/>
    </row>
    <row r="696" spans="29:31" x14ac:dyDescent="0.2">
      <c r="AC696" s="2"/>
      <c r="AD696" s="2"/>
      <c r="AE696" s="3"/>
    </row>
    <row r="697" spans="29:31" x14ac:dyDescent="0.2">
      <c r="AC697" s="2"/>
      <c r="AD697" s="2"/>
      <c r="AE697" s="3"/>
    </row>
    <row r="698" spans="29:31" x14ac:dyDescent="0.2">
      <c r="AC698" s="2"/>
      <c r="AD698" s="2"/>
      <c r="AE698" s="3"/>
    </row>
    <row r="699" spans="29:31" x14ac:dyDescent="0.2">
      <c r="AC699" s="2"/>
      <c r="AD699" s="2"/>
      <c r="AE699" s="3"/>
    </row>
    <row r="700" spans="29:31" x14ac:dyDescent="0.2">
      <c r="AC700" s="2"/>
      <c r="AD700" s="2"/>
      <c r="AE700" s="3"/>
    </row>
    <row r="701" spans="29:31" x14ac:dyDescent="0.2">
      <c r="AC701" s="2"/>
      <c r="AD701" s="2"/>
      <c r="AE701" s="3"/>
    </row>
    <row r="702" spans="29:31" x14ac:dyDescent="0.2">
      <c r="AC702" s="2"/>
      <c r="AD702" s="2"/>
      <c r="AE702" s="3"/>
    </row>
    <row r="703" spans="29:31" x14ac:dyDescent="0.2">
      <c r="AC703" s="2"/>
      <c r="AD703" s="2"/>
      <c r="AE703" s="3"/>
    </row>
    <row r="704" spans="29:31" x14ac:dyDescent="0.2">
      <c r="AC704" s="2"/>
      <c r="AD704" s="2"/>
      <c r="AE704" s="3"/>
    </row>
    <row r="705" spans="29:31" x14ac:dyDescent="0.2">
      <c r="AC705" s="2"/>
      <c r="AD705" s="2"/>
      <c r="AE705" s="3"/>
    </row>
    <row r="706" spans="29:31" x14ac:dyDescent="0.2">
      <c r="AC706" s="2"/>
      <c r="AD706" s="2"/>
      <c r="AE706" s="3"/>
    </row>
    <row r="707" spans="29:31" x14ac:dyDescent="0.2">
      <c r="AC707" s="2"/>
      <c r="AD707" s="2"/>
      <c r="AE707" s="3"/>
    </row>
    <row r="708" spans="29:31" x14ac:dyDescent="0.2">
      <c r="AC708" s="2"/>
      <c r="AD708" s="2"/>
      <c r="AE708" s="3"/>
    </row>
    <row r="709" spans="29:31" x14ac:dyDescent="0.2">
      <c r="AC709" s="2"/>
      <c r="AD709" s="2"/>
      <c r="AE709" s="3"/>
    </row>
    <row r="710" spans="29:31" x14ac:dyDescent="0.2">
      <c r="AC710" s="2"/>
      <c r="AD710" s="2"/>
      <c r="AE710" s="3"/>
    </row>
    <row r="711" spans="29:31" x14ac:dyDescent="0.2">
      <c r="AC711" s="2"/>
      <c r="AD711" s="2"/>
      <c r="AE711" s="3"/>
    </row>
    <row r="712" spans="29:31" x14ac:dyDescent="0.2">
      <c r="AC712" s="2"/>
      <c r="AD712" s="2"/>
      <c r="AE712" s="3"/>
    </row>
    <row r="713" spans="29:31" x14ac:dyDescent="0.2">
      <c r="AC713" s="2"/>
      <c r="AD713" s="2"/>
      <c r="AE713" s="3"/>
    </row>
    <row r="714" spans="29:31" x14ac:dyDescent="0.2">
      <c r="AC714" s="2"/>
      <c r="AD714" s="2"/>
      <c r="AE714" s="3"/>
    </row>
    <row r="715" spans="29:31" x14ac:dyDescent="0.2">
      <c r="AC715" s="2"/>
      <c r="AD715" s="2"/>
      <c r="AE715" s="3"/>
    </row>
    <row r="716" spans="29:31" x14ac:dyDescent="0.2">
      <c r="AC716" s="2"/>
      <c r="AD716" s="2"/>
      <c r="AE716" s="3"/>
    </row>
    <row r="717" spans="29:31" x14ac:dyDescent="0.2">
      <c r="AC717" s="2"/>
      <c r="AD717" s="2"/>
      <c r="AE717" s="3"/>
    </row>
    <row r="718" spans="29:31" x14ac:dyDescent="0.2">
      <c r="AC718" s="2"/>
      <c r="AD718" s="2"/>
      <c r="AE718" s="3"/>
    </row>
    <row r="719" spans="29:31" x14ac:dyDescent="0.2">
      <c r="AC719" s="2"/>
      <c r="AD719" s="2"/>
      <c r="AE719" s="3"/>
    </row>
    <row r="720" spans="29:31" x14ac:dyDescent="0.2">
      <c r="AC720" s="2"/>
      <c r="AD720" s="2"/>
      <c r="AE720" s="3"/>
    </row>
    <row r="721" spans="29:31" x14ac:dyDescent="0.2">
      <c r="AC721" s="2"/>
      <c r="AD721" s="2"/>
      <c r="AE721" s="3"/>
    </row>
    <row r="722" spans="29:31" x14ac:dyDescent="0.2">
      <c r="AC722" s="2"/>
      <c r="AD722" s="2"/>
      <c r="AE722" s="3"/>
    </row>
    <row r="723" spans="29:31" x14ac:dyDescent="0.2">
      <c r="AC723" s="2"/>
      <c r="AD723" s="2"/>
      <c r="AE723" s="3"/>
    </row>
    <row r="724" spans="29:31" x14ac:dyDescent="0.2">
      <c r="AC724" s="2"/>
      <c r="AD724" s="2"/>
      <c r="AE724" s="3"/>
    </row>
    <row r="725" spans="29:31" x14ac:dyDescent="0.2">
      <c r="AC725" s="2"/>
      <c r="AD725" s="2"/>
      <c r="AE725" s="3"/>
    </row>
    <row r="726" spans="29:31" x14ac:dyDescent="0.2">
      <c r="AC726" s="2"/>
      <c r="AD726" s="2"/>
      <c r="AE726" s="3"/>
    </row>
    <row r="727" spans="29:31" x14ac:dyDescent="0.2">
      <c r="AC727" s="2"/>
      <c r="AD727" s="2"/>
      <c r="AE727" s="3"/>
    </row>
    <row r="728" spans="29:31" x14ac:dyDescent="0.2">
      <c r="AC728" s="2"/>
      <c r="AD728" s="2"/>
      <c r="AE728" s="3"/>
    </row>
    <row r="729" spans="29:31" x14ac:dyDescent="0.2">
      <c r="AC729" s="2"/>
      <c r="AD729" s="2"/>
      <c r="AE729" s="3"/>
    </row>
    <row r="730" spans="29:31" x14ac:dyDescent="0.2">
      <c r="AC730" s="2"/>
      <c r="AD730" s="2"/>
      <c r="AE730" s="3"/>
    </row>
    <row r="731" spans="29:31" x14ac:dyDescent="0.2">
      <c r="AC731" s="2"/>
      <c r="AD731" s="2"/>
      <c r="AE731" s="3"/>
    </row>
    <row r="732" spans="29:31" x14ac:dyDescent="0.2">
      <c r="AC732" s="2"/>
      <c r="AD732" s="2"/>
      <c r="AE732" s="3"/>
    </row>
    <row r="733" spans="29:31" x14ac:dyDescent="0.2">
      <c r="AC733" s="2"/>
      <c r="AD733" s="2"/>
      <c r="AE733" s="3"/>
    </row>
    <row r="734" spans="29:31" x14ac:dyDescent="0.2">
      <c r="AC734" s="2"/>
      <c r="AD734" s="2"/>
      <c r="AE734" s="3"/>
    </row>
    <row r="735" spans="29:31" x14ac:dyDescent="0.2">
      <c r="AC735" s="2"/>
      <c r="AD735" s="2"/>
      <c r="AE735" s="3"/>
    </row>
    <row r="736" spans="29:31" x14ac:dyDescent="0.2">
      <c r="AC736" s="2"/>
      <c r="AD736" s="2"/>
      <c r="AE736" s="3"/>
    </row>
    <row r="737" spans="29:31" x14ac:dyDescent="0.2">
      <c r="AC737" s="2"/>
      <c r="AD737" s="2"/>
      <c r="AE737" s="3"/>
    </row>
    <row r="738" spans="29:31" x14ac:dyDescent="0.2">
      <c r="AC738" s="2"/>
      <c r="AD738" s="2"/>
      <c r="AE738" s="3"/>
    </row>
    <row r="739" spans="29:31" x14ac:dyDescent="0.2">
      <c r="AC739" s="2"/>
      <c r="AD739" s="2"/>
      <c r="AE739" s="3"/>
    </row>
    <row r="740" spans="29:31" x14ac:dyDescent="0.2">
      <c r="AC740" s="2"/>
      <c r="AD740" s="2"/>
      <c r="AE740" s="3"/>
    </row>
    <row r="741" spans="29:31" x14ac:dyDescent="0.2">
      <c r="AC741" s="2"/>
      <c r="AD741" s="2"/>
      <c r="AE741" s="3"/>
    </row>
    <row r="742" spans="29:31" x14ac:dyDescent="0.2">
      <c r="AC742" s="2"/>
      <c r="AD742" s="2"/>
      <c r="AE742" s="3"/>
    </row>
    <row r="743" spans="29:31" x14ac:dyDescent="0.2">
      <c r="AC743" s="2"/>
      <c r="AD743" s="2"/>
      <c r="AE743" s="3"/>
    </row>
    <row r="744" spans="29:31" x14ac:dyDescent="0.2">
      <c r="AC744" s="2"/>
      <c r="AD744" s="2"/>
      <c r="AE744" s="3"/>
    </row>
    <row r="745" spans="29:31" x14ac:dyDescent="0.2">
      <c r="AC745" s="2"/>
      <c r="AD745" s="2"/>
      <c r="AE745" s="3"/>
    </row>
    <row r="746" spans="29:31" x14ac:dyDescent="0.2">
      <c r="AC746" s="2"/>
      <c r="AD746" s="2"/>
      <c r="AE746" s="3"/>
    </row>
    <row r="747" spans="29:31" x14ac:dyDescent="0.2">
      <c r="AC747" s="2"/>
      <c r="AD747" s="2"/>
      <c r="AE747" s="3"/>
    </row>
    <row r="748" spans="29:31" x14ac:dyDescent="0.2">
      <c r="AC748" s="2"/>
      <c r="AD748" s="2"/>
      <c r="AE748" s="3"/>
    </row>
    <row r="749" spans="29:31" x14ac:dyDescent="0.2">
      <c r="AC749" s="2"/>
      <c r="AD749" s="2"/>
      <c r="AE749" s="3"/>
    </row>
    <row r="750" spans="29:31" x14ac:dyDescent="0.2">
      <c r="AC750" s="2"/>
      <c r="AD750" s="2"/>
      <c r="AE750" s="3"/>
    </row>
    <row r="751" spans="29:31" x14ac:dyDescent="0.2">
      <c r="AC751" s="2"/>
      <c r="AD751" s="2"/>
      <c r="AE751" s="3"/>
    </row>
    <row r="752" spans="29:31" x14ac:dyDescent="0.2">
      <c r="AC752" s="2"/>
      <c r="AD752" s="2"/>
      <c r="AE752" s="3"/>
    </row>
    <row r="753" spans="29:31" x14ac:dyDescent="0.2">
      <c r="AC753" s="2"/>
      <c r="AD753" s="2"/>
      <c r="AE753" s="3"/>
    </row>
    <row r="754" spans="29:31" x14ac:dyDescent="0.2">
      <c r="AC754" s="2"/>
      <c r="AD754" s="2"/>
      <c r="AE754" s="3"/>
    </row>
    <row r="755" spans="29:31" x14ac:dyDescent="0.2">
      <c r="AC755" s="2"/>
      <c r="AD755" s="2"/>
      <c r="AE755" s="3"/>
    </row>
    <row r="756" spans="29:31" x14ac:dyDescent="0.2">
      <c r="AC756" s="2"/>
      <c r="AD756" s="2"/>
      <c r="AE756" s="3"/>
    </row>
    <row r="757" spans="29:31" x14ac:dyDescent="0.2">
      <c r="AC757" s="2"/>
      <c r="AD757" s="2"/>
      <c r="AE757" s="3"/>
    </row>
    <row r="758" spans="29:31" x14ac:dyDescent="0.2">
      <c r="AC758" s="2"/>
      <c r="AD758" s="2"/>
      <c r="AE758" s="3"/>
    </row>
    <row r="759" spans="29:31" x14ac:dyDescent="0.2">
      <c r="AC759" s="2"/>
      <c r="AD759" s="2"/>
      <c r="AE759" s="3"/>
    </row>
    <row r="760" spans="29:31" x14ac:dyDescent="0.2">
      <c r="AC760" s="2"/>
      <c r="AD760" s="2"/>
      <c r="AE760" s="3"/>
    </row>
    <row r="761" spans="29:31" x14ac:dyDescent="0.2">
      <c r="AC761" s="2"/>
      <c r="AD761" s="2"/>
      <c r="AE761" s="3"/>
    </row>
    <row r="762" spans="29:31" x14ac:dyDescent="0.2">
      <c r="AC762" s="2"/>
      <c r="AD762" s="2"/>
      <c r="AE762" s="3"/>
    </row>
    <row r="763" spans="29:31" x14ac:dyDescent="0.2">
      <c r="AC763" s="2"/>
      <c r="AD763" s="2"/>
      <c r="AE763" s="3"/>
    </row>
    <row r="764" spans="29:31" x14ac:dyDescent="0.2">
      <c r="AC764" s="2"/>
      <c r="AD764" s="2"/>
      <c r="AE764" s="3"/>
    </row>
    <row r="765" spans="29:31" x14ac:dyDescent="0.2">
      <c r="AC765" s="2"/>
      <c r="AD765" s="2"/>
      <c r="AE765" s="3"/>
    </row>
    <row r="766" spans="29:31" x14ac:dyDescent="0.2">
      <c r="AC766" s="2"/>
      <c r="AD766" s="2"/>
      <c r="AE766" s="3"/>
    </row>
    <row r="767" spans="29:31" x14ac:dyDescent="0.2">
      <c r="AC767" s="2"/>
      <c r="AD767" s="2"/>
      <c r="AE767" s="3"/>
    </row>
    <row r="768" spans="29:31" x14ac:dyDescent="0.2">
      <c r="AC768" s="2"/>
      <c r="AD768" s="2"/>
      <c r="AE768" s="3"/>
    </row>
    <row r="769" spans="29:31" x14ac:dyDescent="0.2">
      <c r="AC769" s="2"/>
      <c r="AD769" s="2"/>
      <c r="AE769" s="3"/>
    </row>
    <row r="770" spans="29:31" x14ac:dyDescent="0.2">
      <c r="AC770" s="2"/>
      <c r="AD770" s="2"/>
      <c r="AE770" s="3"/>
    </row>
    <row r="771" spans="29:31" x14ac:dyDescent="0.2">
      <c r="AC771" s="2"/>
      <c r="AD771" s="2"/>
      <c r="AE771" s="3"/>
    </row>
    <row r="772" spans="29:31" x14ac:dyDescent="0.2">
      <c r="AC772" s="2"/>
      <c r="AD772" s="2"/>
      <c r="AE772" s="3"/>
    </row>
    <row r="773" spans="29:31" x14ac:dyDescent="0.2">
      <c r="AC773" s="2"/>
      <c r="AD773" s="2"/>
      <c r="AE773" s="3"/>
    </row>
    <row r="774" spans="29:31" x14ac:dyDescent="0.2">
      <c r="AC774" s="2"/>
      <c r="AD774" s="2"/>
      <c r="AE774" s="3"/>
    </row>
    <row r="775" spans="29:31" x14ac:dyDescent="0.2">
      <c r="AC775" s="2"/>
      <c r="AD775" s="2"/>
      <c r="AE775" s="3"/>
    </row>
    <row r="776" spans="29:31" x14ac:dyDescent="0.2">
      <c r="AC776" s="2"/>
      <c r="AD776" s="2"/>
      <c r="AE776" s="3"/>
    </row>
    <row r="777" spans="29:31" x14ac:dyDescent="0.2">
      <c r="AC777" s="2"/>
      <c r="AD777" s="2"/>
      <c r="AE777" s="3"/>
    </row>
    <row r="778" spans="29:31" x14ac:dyDescent="0.2">
      <c r="AC778" s="2"/>
      <c r="AD778" s="2"/>
      <c r="AE778" s="3"/>
    </row>
    <row r="779" spans="29:31" x14ac:dyDescent="0.2">
      <c r="AC779" s="2"/>
      <c r="AD779" s="2"/>
      <c r="AE779" s="3"/>
    </row>
    <row r="780" spans="29:31" x14ac:dyDescent="0.2">
      <c r="AC780" s="2"/>
      <c r="AD780" s="2"/>
      <c r="AE780" s="3"/>
    </row>
    <row r="781" spans="29:31" x14ac:dyDescent="0.2">
      <c r="AC781" s="2"/>
      <c r="AD781" s="2"/>
      <c r="AE781" s="3"/>
    </row>
    <row r="782" spans="29:31" x14ac:dyDescent="0.2">
      <c r="AC782" s="2"/>
      <c r="AD782" s="2"/>
      <c r="AE782" s="3"/>
    </row>
    <row r="783" spans="29:31" x14ac:dyDescent="0.2">
      <c r="AC783" s="2"/>
      <c r="AD783" s="2"/>
      <c r="AE783" s="3"/>
    </row>
    <row r="784" spans="29:31" x14ac:dyDescent="0.2">
      <c r="AC784" s="2"/>
      <c r="AD784" s="2"/>
      <c r="AE784" s="3"/>
    </row>
    <row r="785" spans="29:31" x14ac:dyDescent="0.2">
      <c r="AC785" s="2"/>
      <c r="AD785" s="2"/>
      <c r="AE785" s="3"/>
    </row>
    <row r="786" spans="29:31" x14ac:dyDescent="0.2">
      <c r="AC786" s="2"/>
      <c r="AD786" s="2"/>
      <c r="AE786" s="3"/>
    </row>
    <row r="787" spans="29:31" x14ac:dyDescent="0.2">
      <c r="AC787" s="2"/>
      <c r="AD787" s="2"/>
      <c r="AE787" s="3"/>
    </row>
    <row r="788" spans="29:31" x14ac:dyDescent="0.2">
      <c r="AC788" s="2"/>
      <c r="AD788" s="2"/>
      <c r="AE788" s="3"/>
    </row>
    <row r="789" spans="29:31" x14ac:dyDescent="0.2">
      <c r="AC789" s="2"/>
      <c r="AD789" s="2"/>
      <c r="AE789" s="3"/>
    </row>
    <row r="790" spans="29:31" x14ac:dyDescent="0.2">
      <c r="AC790" s="2"/>
      <c r="AD790" s="2"/>
      <c r="AE790" s="3"/>
    </row>
    <row r="791" spans="29:31" x14ac:dyDescent="0.2">
      <c r="AC791" s="2"/>
      <c r="AD791" s="2"/>
      <c r="AE791" s="3"/>
    </row>
    <row r="792" spans="29:31" x14ac:dyDescent="0.2">
      <c r="AC792" s="2"/>
      <c r="AD792" s="2"/>
      <c r="AE792" s="3"/>
    </row>
    <row r="793" spans="29:31" x14ac:dyDescent="0.2">
      <c r="AC793" s="2"/>
      <c r="AD793" s="2"/>
      <c r="AE793" s="3"/>
    </row>
    <row r="794" spans="29:31" x14ac:dyDescent="0.2">
      <c r="AC794" s="2"/>
      <c r="AD794" s="2"/>
      <c r="AE794" s="3"/>
    </row>
  </sheetData>
  <sortState xmlns:xlrd2="http://schemas.microsoft.com/office/spreadsheetml/2017/richdata2" ref="A2:AP175">
    <sortCondition ref="AC2:AC17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compiled_metadata_sorted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Gavin Thomas Koma</cp:lastModifiedBy>
  <dcterms:created xsi:type="dcterms:W3CDTF">2026-02-04T20:39:53Z</dcterms:created>
  <dcterms:modified xsi:type="dcterms:W3CDTF">2026-02-18T20:09:28Z</dcterms:modified>
</cp:coreProperties>
</file>